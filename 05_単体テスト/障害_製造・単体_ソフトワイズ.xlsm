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2.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harts/chart3.xml" ContentType="application/vnd.openxmlformats-officedocument.drawingml.chart+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7A2D7E96-6E34-419A-AE5F-296B3A7E7977}"/>
  <workbookPr codeName="ThisWorkbook" defaultThemeVersion="124226"/>
  <bookViews>
    <workbookView xWindow="0" yWindow="0" windowWidth="21840" windowHeight="11910"/>
  </bookViews>
  <sheets>
    <sheet name="edata" sheetId="1" r:id="rId1"/>
    <sheet name="sums" sheetId="2" r:id="rId2"/>
    <sheet name="graph" sheetId="3" r:id="rId3"/>
    <sheet name="swork" sheetId="4" state="hidden" r:id="rId4"/>
    <sheet name="gwork" sheetId="5" r:id="rId5"/>
    <sheet name="graph2" sheetId="6" r:id="rId6"/>
    <sheet name="gwork2" sheetId="7" r:id="rId7"/>
    <sheet name="qawork" sheetId="8" r:id="rId8"/>
    <sheet name="qagwork" sheetId="9" r:id="rId9"/>
    <sheet name="qagraph" sheetId="10" r:id="rId10"/>
    <sheet name="_coninfo" sheetId="15" state="hidden" r:id="rId11"/>
    <sheet name="_plist" sheetId="13" state="hidden" r:id="rId12"/>
    <sheet name="env" sheetId="11" r:id="rId13"/>
    <sheet name="env2" sheetId="12" state="hidden" r:id="rId14"/>
  </sheets>
  <definedNames>
    <definedName name="_ConAuthID">_coninfo!$B$5</definedName>
    <definedName name="_ConPJUID">_coninfo!$B$4</definedName>
    <definedName name="_ConURL">_coninfo!$B$3</definedName>
    <definedName name="_xlnm._FilterDatabase" localSheetId="0" hidden="1">edata!$A$3:$AS$3</definedName>
    <definedName name="_xlnm._FilterDatabase" localSheetId="3">swork!$S$3:$AA$67</definedName>
    <definedName name="_PListDate1">_plist!$C$3</definedName>
    <definedName name="_PListDate2">_plist!$C$4</definedName>
    <definedName name="_SN01">env!$C$4:$C$12</definedName>
    <definedName name="_SN011">env!$C$4:$C$12</definedName>
    <definedName name="_SN02">env!$D$4:$D$10</definedName>
    <definedName name="_SN03">env!$E$4:$E$10</definedName>
    <definedName name="_SN04">env!$F$4:$F$8</definedName>
    <definedName name="_SN05">env!$G$4:$G$15</definedName>
    <definedName name="_SN06">env!$H$4:$H$6</definedName>
    <definedName name="_SN07">env!$I$4:$I$6</definedName>
    <definedName name="_SN08">env!$J$4:$J$6</definedName>
    <definedName name="_SN09">env!$K$4:$K$29</definedName>
    <definedName name="_SN10">env!$L$4:$L$20</definedName>
    <definedName name="_SN11">env!$M$4:$M$9</definedName>
    <definedName name="_SN12">env!$N$4:$N$10</definedName>
    <definedName name="_SN13">env!$O$4:$O$7</definedName>
    <definedName name="_SN14">env!$P$4:$P$7</definedName>
    <definedName name="_SN15">env!$Q$4:$Q$7</definedName>
    <definedName name="_SN16">env!$R$4:$R$9</definedName>
    <definedName name="all_data" localSheetId="12">env!all_data</definedName>
    <definedName name="all_data" localSheetId="13">'env2'!all_data</definedName>
    <definedName name="all_data" localSheetId="3">swork!all_data</definedName>
    <definedName name="_xlnm.Criteria" localSheetId="3">swork!$P$1:$P$2</definedName>
    <definedName name="_xlnm.Extract" localSheetId="4">gwork!$L$6:$T$6</definedName>
    <definedName name="_xlnm.Extract" localSheetId="1">sums!$J$6:$P$6</definedName>
    <definedName name="_xlnm.Extract" localSheetId="3">swork!$P$3:$S$3</definedName>
    <definedName name="P901BT">30</definedName>
    <definedName name="_xlnm.Print_Area" localSheetId="13">'env2'!$B:$L</definedName>
    <definedName name="_xlnm.Print_Titles" localSheetId="0">edata!$3:$3</definedName>
    <definedName name="_xlnm.Print_Titles" localSheetId="12">env!$A:$A,env!$2:$3</definedName>
    <definedName name="_xlnm.Print_Titles" localSheetId="13">'env2'!$3:$4</definedName>
    <definedName name="_xlnm.Print_Titles" localSheetId="6">gwork2!$3:$3</definedName>
    <definedName name="REV">"201"</definedName>
    <definedName name="SAVBUG">env!$F$4</definedName>
    <definedName name="SAVNAB">env!$F$5</definedName>
    <definedName name="SNADT">edata!$K$3</definedName>
    <definedName name="SNAGN">edata!$P$3</definedName>
    <definedName name="SNAMP">edata!$AR$3</definedName>
    <definedName name="SNANM">edata!$L$3</definedName>
    <definedName name="SNBAD">edata!$W$3</definedName>
    <definedName name="SNBCT">edata!$O$3</definedName>
    <definedName name="SNBKB">edata!$M$3</definedName>
    <definedName name="SNBST">edata!$D$3</definedName>
    <definedName name="SNBTP">edata!$Y$3</definedName>
    <definedName name="SNBWT">edata!$AM$3</definedName>
    <definedName name="SNCCT">edata!$U$3</definedName>
    <definedName name="SNCFD">edata!$AD$3</definedName>
    <definedName name="SNCKB">edata!$G$3</definedName>
    <definedName name="SNCLM">'env2'!$A$1:$BZ$1</definedName>
    <definedName name="SNCNT">edata!$AS$3</definedName>
    <definedName name="SNCPD">edata!$AC$3</definedName>
    <definedName name="SNCSE">edata!$T$3</definedName>
    <definedName name="SNDKB">edata!$F$3</definedName>
    <definedName name="SNEVS">edata!$Q$3</definedName>
    <definedName name="SNFPR">edata!$E$3</definedName>
    <definedName name="SNFSC">edata!$AL$3</definedName>
    <definedName name="SNGTN">edata!$AI$3</definedName>
    <definedName name="SNHID">'env2'!$B$4</definedName>
    <definedName name="SNHMP">edata!$AP$3</definedName>
    <definedName name="SNIFL">edata!$R$3</definedName>
    <definedName name="SNKAN">edata!$B$3</definedName>
    <definedName name="SNKDT">edata!$I$3</definedName>
    <definedName name="SNKNM">edata!$J$3</definedName>
    <definedName name="SNMCD">edata!$AH$3</definedName>
    <definedName name="SNMYP">'env2'!$J$4</definedName>
    <definedName name="SNOFC">edata!$AK$3</definedName>
    <definedName name="SNOPC">edata!$AA$3</definedName>
    <definedName name="SNOPE">edata!$Z$3</definedName>
    <definedName name="SNOPR">edata!$V$3</definedName>
    <definedName name="SNOSY">edata!$AJ$3</definedName>
    <definedName name="SNPRG">edata!$H$3</definedName>
    <definedName name="SNRDT">edata!$AG$3</definedName>
    <definedName name="SNRMN">edata!$AO$3</definedName>
    <definedName name="SNRMP">edata!$AQ$3</definedName>
    <definedName name="SNRPD">edata!$AF$3</definedName>
    <definedName name="SNRVR">edata!$AE$3</definedName>
    <definedName name="SNSBN">edata!$S$3</definedName>
    <definedName name="SNSKN">edata!$C$3</definedName>
    <definedName name="SNSTS">edata!$X$3</definedName>
    <definedName name="SNTAN">edata!$AN$3</definedName>
    <definedName name="SNUPC">env!$B$21</definedName>
    <definedName name="SNUPD">edata!$AB$3</definedName>
    <definedName name="SNWAY">edata!$N$3</definedName>
    <definedName name="SNZAN">'env2'!$F$4</definedName>
    <definedName name="VER" localSheetId="12">"ver 2.05"</definedName>
    <definedName name="VER" localSheetId="5">"Ver 2.064T"</definedName>
    <definedName name="VER">"4.0"</definedName>
  </definedNames>
  <calcPr calcId="145621"/>
  <pivotCaches>
    <pivotCache cacheId="0" r:id="rId15"/>
    <pivotCache cacheId="1" r:id="rId16"/>
  </pivotCaches>
</workbook>
</file>

<file path=xl/calcChain.xml><?xml version="1.0" encoding="utf-8"?>
<calcChain xmlns="http://schemas.openxmlformats.org/spreadsheetml/2006/main">
  <c r="AP40" i="1" l="1"/>
  <c r="AP36" i="1" l="1"/>
  <c r="B40" i="1"/>
  <c r="AP34" i="1" l="1"/>
  <c r="B36" i="1"/>
  <c r="AP37" i="1" l="1"/>
  <c r="AP35" i="1"/>
  <c r="AP33" i="1"/>
  <c r="AP32" i="1"/>
  <c r="AP31" i="1"/>
  <c r="AP30" i="1"/>
  <c r="AP29" i="1"/>
  <c r="AP28" i="1"/>
  <c r="AP27" i="1"/>
  <c r="AP26" i="1"/>
  <c r="AP25" i="1"/>
  <c r="AP24" i="1"/>
  <c r="AP23" i="1"/>
  <c r="AP22" i="1"/>
  <c r="AP21" i="1"/>
  <c r="B37" i="1"/>
  <c r="B33" i="1"/>
  <c r="B21" i="1"/>
  <c r="B29" i="1"/>
  <c r="B28" i="1"/>
  <c r="B26" i="1"/>
  <c r="B25" i="1"/>
  <c r="B27" i="1"/>
  <c r="B34" i="1"/>
  <c r="B30" i="1"/>
  <c r="B24" i="1"/>
  <c r="B22" i="1"/>
  <c r="B31" i="1"/>
  <c r="B32" i="1"/>
  <c r="B35" i="1"/>
  <c r="B23" i="1"/>
  <c r="AP18" i="1" l="1"/>
  <c r="AP17" i="1"/>
  <c r="AP16" i="1"/>
  <c r="AP15" i="1"/>
  <c r="AP14" i="1"/>
  <c r="AP39" i="1"/>
  <c r="AP20" i="1"/>
  <c r="AP19" i="1"/>
  <c r="AP13" i="1"/>
  <c r="AP12" i="1"/>
  <c r="AP11" i="1"/>
  <c r="AP10" i="1"/>
  <c r="AP9" i="1"/>
  <c r="AP8" i="1"/>
  <c r="AP7" i="1"/>
  <c r="AP6" i="1"/>
  <c r="AP5" i="1"/>
  <c r="AP4" i="1"/>
  <c r="AP44" i="1"/>
  <c r="AP43" i="1"/>
  <c r="AP42" i="1"/>
  <c r="AP41" i="1"/>
  <c r="AP38" i="1"/>
  <c r="AP45" i="1"/>
  <c r="AP46" i="1"/>
  <c r="B44" i="1"/>
  <c r="B39" i="1"/>
  <c r="B41" i="1"/>
  <c r="B45" i="1"/>
  <c r="B42" i="1"/>
  <c r="B43" i="1"/>
  <c r="B38" i="1"/>
  <c r="B4" i="1"/>
  <c r="B15" i="1"/>
  <c r="B20" i="1"/>
  <c r="B10" i="1"/>
  <c r="B8" i="1"/>
  <c r="B16" i="1"/>
  <c r="B12" i="1"/>
  <c r="B7" i="1"/>
  <c r="B18" i="1"/>
  <c r="B5" i="1"/>
  <c r="B14" i="1"/>
  <c r="B19" i="1"/>
  <c r="B6" i="1"/>
  <c r="B13" i="1"/>
  <c r="B11" i="1"/>
  <c r="B9" i="1"/>
  <c r="B17" i="1"/>
  <c r="D2" i="1" l="1"/>
  <c r="B46" i="1"/>
  <c r="E1" i="1" l="1"/>
  <c r="C2" i="1" l="1"/>
  <c r="T4" i="4"/>
  <c r="W4" i="4"/>
  <c r="W5" i="4" s="1"/>
  <c r="W6" i="4" s="1"/>
  <c r="W7" i="4" s="1"/>
  <c r="W8" i="4" s="1"/>
  <c r="W9" i="4" s="1"/>
  <c r="W10" i="4" s="1"/>
  <c r="W11" i="4" s="1"/>
  <c r="W12" i="4" s="1"/>
  <c r="W13" i="4" s="1"/>
  <c r="W14" i="4" s="1"/>
  <c r="W15" i="4" s="1"/>
  <c r="W16" i="4" s="1"/>
  <c r="W17" i="4" s="1"/>
  <c r="W18" i="4" s="1"/>
  <c r="W19" i="4" s="1"/>
  <c r="W20" i="4" s="1"/>
  <c r="W21" i="4" s="1"/>
  <c r="W22" i="4" s="1"/>
  <c r="W23" i="4" s="1"/>
  <c r="W24" i="4" s="1"/>
  <c r="W25" i="4" s="1"/>
  <c r="W26" i="4" s="1"/>
  <c r="W27" i="4" s="1"/>
  <c r="W28" i="4" s="1"/>
  <c r="W29" i="4" s="1"/>
  <c r="W30" i="4" s="1"/>
  <c r="W31" i="4" s="1"/>
  <c r="W32" i="4" s="1"/>
  <c r="W33" i="4" s="1"/>
  <c r="W34" i="4" s="1"/>
  <c r="W35" i="4" s="1"/>
  <c r="W36" i="4" s="1"/>
  <c r="W37" i="4" s="1"/>
  <c r="W38" i="4" s="1"/>
  <c r="W39" i="4" s="1"/>
  <c r="W40" i="4" s="1"/>
  <c r="W41" i="4" s="1"/>
  <c r="W42" i="4" s="1"/>
  <c r="W43" i="4" s="1"/>
  <c r="W44" i="4" s="1"/>
  <c r="W45" i="4" s="1"/>
  <c r="W46" i="4" s="1"/>
  <c r="W47" i="4" s="1"/>
  <c r="W48" i="4" s="1"/>
  <c r="W49" i="4" s="1"/>
  <c r="W50" i="4" s="1"/>
  <c r="W51" i="4" s="1"/>
  <c r="W52" i="4" s="1"/>
  <c r="W53" i="4" s="1"/>
  <c r="W54" i="4" s="1"/>
  <c r="W55" i="4" s="1"/>
  <c r="W56" i="4" s="1"/>
  <c r="W57" i="4" s="1"/>
  <c r="W58" i="4" s="1"/>
  <c r="W59" i="4" s="1"/>
  <c r="W60" i="4" s="1"/>
  <c r="W61" i="4" s="1"/>
  <c r="W62" i="4" s="1"/>
  <c r="W63" i="4" s="1"/>
  <c r="W64" i="4" s="1"/>
  <c r="W65" i="4" s="1"/>
  <c r="W66" i="4" s="1"/>
  <c r="X4" i="4"/>
  <c r="Y4" i="4"/>
  <c r="Z4" i="4"/>
  <c r="Z5" i="4" s="1"/>
  <c r="Z6" i="4" s="1"/>
  <c r="Z7" i="4" s="1"/>
  <c r="Z8" i="4" s="1"/>
  <c r="Z9" i="4" s="1"/>
  <c r="Z10" i="4" s="1"/>
  <c r="Z11" i="4" s="1"/>
  <c r="Z12" i="4" s="1"/>
  <c r="Z13" i="4" s="1"/>
  <c r="Z14" i="4" s="1"/>
  <c r="Z15" i="4" s="1"/>
  <c r="Z16" i="4" s="1"/>
  <c r="Z17" i="4" s="1"/>
  <c r="Z18" i="4" s="1"/>
  <c r="Z19" i="4" s="1"/>
  <c r="Z20" i="4" s="1"/>
  <c r="Z21" i="4" s="1"/>
  <c r="Z22" i="4" s="1"/>
  <c r="Z23" i="4" s="1"/>
  <c r="Z24" i="4" s="1"/>
  <c r="Z25" i="4" s="1"/>
  <c r="Z26" i="4" s="1"/>
  <c r="Z27" i="4" s="1"/>
  <c r="Z28" i="4" s="1"/>
  <c r="Z29" i="4" s="1"/>
  <c r="Z30" i="4" s="1"/>
  <c r="Z31" i="4" s="1"/>
  <c r="Z32" i="4" s="1"/>
  <c r="Z33" i="4" s="1"/>
  <c r="Z34" i="4" s="1"/>
  <c r="Z35" i="4" s="1"/>
  <c r="Z36" i="4" s="1"/>
  <c r="Z37" i="4" s="1"/>
  <c r="Z38" i="4" s="1"/>
  <c r="Z39" i="4" s="1"/>
  <c r="Z40" i="4" s="1"/>
  <c r="Z41" i="4" s="1"/>
  <c r="Z42" i="4" s="1"/>
  <c r="Z43" i="4" s="1"/>
  <c r="Z44" i="4" s="1"/>
  <c r="Z45" i="4" s="1"/>
  <c r="Z46" i="4" s="1"/>
  <c r="Z47" i="4" s="1"/>
  <c r="Z48" i="4" s="1"/>
  <c r="Z49" i="4" s="1"/>
  <c r="Z50" i="4" s="1"/>
  <c r="Z51" i="4" s="1"/>
  <c r="Z52" i="4" s="1"/>
  <c r="Z53" i="4" s="1"/>
  <c r="Z54" i="4" s="1"/>
  <c r="Z55" i="4" s="1"/>
  <c r="Z56" i="4" s="1"/>
  <c r="Z57" i="4" s="1"/>
  <c r="Z58" i="4" s="1"/>
  <c r="Z59" i="4" s="1"/>
  <c r="Z60" i="4" s="1"/>
  <c r="Z61" i="4" s="1"/>
  <c r="Z62" i="4" s="1"/>
  <c r="Z63" i="4" s="1"/>
  <c r="Z64" i="4" s="1"/>
  <c r="Z65" i="4" s="1"/>
  <c r="Z66" i="4" s="1"/>
  <c r="Z67" i="4" s="1"/>
  <c r="AA4" i="4"/>
  <c r="AA5" i="4" s="1"/>
  <c r="AA6" i="4" s="1"/>
  <c r="AA7" i="4" s="1"/>
  <c r="AA8" i="4" s="1"/>
  <c r="AA9" i="4" s="1"/>
  <c r="AA10" i="4" s="1"/>
  <c r="AA11" i="4" s="1"/>
  <c r="AA12" i="4" s="1"/>
  <c r="AA13" i="4" s="1"/>
  <c r="AA14" i="4" s="1"/>
  <c r="AA15" i="4" s="1"/>
  <c r="AA16" i="4" s="1"/>
  <c r="AA17" i="4" s="1"/>
  <c r="AA18" i="4" s="1"/>
  <c r="AA19" i="4" s="1"/>
  <c r="AA20" i="4" s="1"/>
  <c r="AA21" i="4" s="1"/>
  <c r="AA22" i="4" s="1"/>
  <c r="AA23" i="4" s="1"/>
  <c r="AA24" i="4" s="1"/>
  <c r="AA25" i="4" s="1"/>
  <c r="AA26" i="4" s="1"/>
  <c r="AA27" i="4" s="1"/>
  <c r="AA28" i="4" s="1"/>
  <c r="AA29" i="4" s="1"/>
  <c r="AA30" i="4" s="1"/>
  <c r="AA31" i="4" s="1"/>
  <c r="AA32" i="4" s="1"/>
  <c r="AA33" i="4" s="1"/>
  <c r="AA34" i="4" s="1"/>
  <c r="AA35" i="4" s="1"/>
  <c r="AA36" i="4" s="1"/>
  <c r="AA37" i="4" s="1"/>
  <c r="AA38" i="4" s="1"/>
  <c r="AA39" i="4" s="1"/>
  <c r="AA40" i="4" s="1"/>
  <c r="AA41" i="4" s="1"/>
  <c r="AA42" i="4" s="1"/>
  <c r="AA43" i="4" s="1"/>
  <c r="AA44" i="4" s="1"/>
  <c r="AA45" i="4" s="1"/>
  <c r="AA46" i="4" s="1"/>
  <c r="AA47" i="4" s="1"/>
  <c r="AA48" i="4" s="1"/>
  <c r="AA49" i="4" s="1"/>
  <c r="AA50" i="4" s="1"/>
  <c r="AA51" i="4" s="1"/>
  <c r="AA52" i="4" s="1"/>
  <c r="AA53" i="4" s="1"/>
  <c r="AA54" i="4" s="1"/>
  <c r="AA55" i="4" s="1"/>
  <c r="AA56" i="4" s="1"/>
  <c r="AA57" i="4" s="1"/>
  <c r="AA58" i="4" s="1"/>
  <c r="AA59" i="4" s="1"/>
  <c r="AA60" i="4" s="1"/>
  <c r="AA61" i="4" s="1"/>
  <c r="AA62" i="4" s="1"/>
  <c r="AA63" i="4" s="1"/>
  <c r="AA64" i="4" s="1"/>
  <c r="AA65" i="4" s="1"/>
  <c r="AA66" i="4" s="1"/>
  <c r="AA67" i="4" s="1"/>
  <c r="T5" i="4"/>
  <c r="X5" i="4"/>
  <c r="Y5" i="4"/>
  <c r="T6" i="4"/>
  <c r="X6" i="4"/>
  <c r="Y6" i="4"/>
  <c r="T7" i="4"/>
  <c r="X7" i="4"/>
  <c r="Y7" i="4"/>
  <c r="T8" i="4"/>
  <c r="X8" i="4"/>
  <c r="Y8" i="4"/>
  <c r="T9" i="4"/>
  <c r="X9" i="4"/>
  <c r="Y9" i="4"/>
  <c r="T10" i="4"/>
  <c r="X10" i="4"/>
  <c r="Y10" i="4"/>
  <c r="T11" i="4"/>
  <c r="X11" i="4"/>
  <c r="Y11" i="4"/>
  <c r="T12" i="4"/>
  <c r="X12" i="4"/>
  <c r="Y12" i="4"/>
  <c r="T13" i="4"/>
  <c r="X13" i="4"/>
  <c r="Y13" i="4"/>
  <c r="T14" i="4"/>
  <c r="X14" i="4"/>
  <c r="Y14" i="4"/>
  <c r="T15" i="4"/>
  <c r="X15" i="4"/>
  <c r="Y15" i="4"/>
  <c r="T16" i="4"/>
  <c r="X16" i="4"/>
  <c r="Y16" i="4"/>
  <c r="T17" i="4"/>
  <c r="X17" i="4"/>
  <c r="Y17" i="4"/>
  <c r="T18" i="4"/>
  <c r="X18" i="4"/>
  <c r="Y18" i="4"/>
  <c r="T19" i="4"/>
  <c r="X19" i="4"/>
  <c r="Y19" i="4"/>
  <c r="T20" i="4"/>
  <c r="X20" i="4"/>
  <c r="Y20" i="4"/>
  <c r="T21" i="4"/>
  <c r="X21" i="4"/>
  <c r="Y21" i="4"/>
  <c r="T22" i="4"/>
  <c r="X22" i="4"/>
  <c r="Y22" i="4"/>
  <c r="T23" i="4"/>
  <c r="X23" i="4"/>
  <c r="Y23" i="4"/>
  <c r="T24" i="4"/>
  <c r="X24" i="4"/>
  <c r="Y24" i="4"/>
  <c r="T25" i="4"/>
  <c r="X25" i="4"/>
  <c r="Y25" i="4"/>
  <c r="T26" i="4"/>
  <c r="X26" i="4"/>
  <c r="Y26" i="4"/>
  <c r="T27" i="4"/>
  <c r="X27" i="4"/>
  <c r="Y27" i="4"/>
  <c r="T28" i="4"/>
  <c r="X28" i="4"/>
  <c r="Y28" i="4"/>
  <c r="T29" i="4"/>
  <c r="X29" i="4"/>
  <c r="Y29" i="4"/>
  <c r="T30" i="4"/>
  <c r="X30" i="4"/>
  <c r="Y30" i="4"/>
  <c r="T31" i="4"/>
  <c r="X31" i="4"/>
  <c r="Y31" i="4"/>
  <c r="T32" i="4"/>
  <c r="X32" i="4"/>
  <c r="Y32" i="4"/>
  <c r="T33" i="4"/>
  <c r="X33" i="4"/>
  <c r="Y33" i="4"/>
  <c r="T34" i="4"/>
  <c r="X34" i="4"/>
  <c r="Y34" i="4"/>
  <c r="T35" i="4"/>
  <c r="X35" i="4"/>
  <c r="Y35" i="4"/>
  <c r="T36" i="4"/>
  <c r="X36" i="4"/>
  <c r="Y36" i="4"/>
  <c r="T37" i="4"/>
  <c r="X37" i="4"/>
  <c r="Y37" i="4"/>
  <c r="T38" i="4"/>
  <c r="X38" i="4"/>
  <c r="Y38" i="4"/>
  <c r="T39" i="4"/>
  <c r="X39" i="4"/>
  <c r="Y39" i="4"/>
  <c r="T40" i="4"/>
  <c r="X40" i="4"/>
  <c r="Y40" i="4"/>
  <c r="T41" i="4"/>
  <c r="X41" i="4"/>
  <c r="Y41" i="4"/>
  <c r="T42" i="4"/>
  <c r="X42" i="4"/>
  <c r="Y42" i="4"/>
  <c r="T43" i="4"/>
  <c r="X43" i="4"/>
  <c r="Y43" i="4"/>
  <c r="T44" i="4"/>
  <c r="X44" i="4"/>
  <c r="Y44" i="4"/>
  <c r="T45" i="4"/>
  <c r="X45" i="4"/>
  <c r="Y45" i="4"/>
  <c r="T46" i="4"/>
  <c r="X46" i="4"/>
  <c r="Y46" i="4"/>
  <c r="T47" i="4"/>
  <c r="X47" i="4"/>
  <c r="Y47" i="4"/>
  <c r="T48" i="4"/>
  <c r="X48" i="4"/>
  <c r="Y48" i="4"/>
  <c r="T49" i="4"/>
  <c r="X49" i="4"/>
  <c r="Y49" i="4"/>
  <c r="T50" i="4"/>
  <c r="X50" i="4"/>
  <c r="Y50" i="4"/>
  <c r="T51" i="4"/>
  <c r="X51" i="4"/>
  <c r="Y51" i="4"/>
  <c r="T52" i="4"/>
  <c r="X52" i="4"/>
  <c r="Y52" i="4"/>
  <c r="T53" i="4"/>
  <c r="X53" i="4"/>
  <c r="Y53" i="4"/>
  <c r="T54" i="4"/>
  <c r="X54" i="4"/>
  <c r="Y54" i="4"/>
  <c r="T55" i="4"/>
  <c r="X55" i="4"/>
  <c r="Y55" i="4"/>
  <c r="T56" i="4"/>
  <c r="X56" i="4"/>
  <c r="Y56" i="4"/>
  <c r="T57" i="4"/>
  <c r="X57" i="4"/>
  <c r="Y57" i="4"/>
  <c r="T58" i="4"/>
  <c r="X58" i="4"/>
  <c r="Y58" i="4"/>
  <c r="T59" i="4"/>
  <c r="X59" i="4"/>
  <c r="Y59" i="4"/>
  <c r="T60" i="4"/>
  <c r="X60" i="4"/>
  <c r="Y60" i="4"/>
  <c r="T61" i="4"/>
  <c r="X61" i="4"/>
  <c r="Y61" i="4"/>
  <c r="T62" i="4"/>
  <c r="X62" i="4"/>
  <c r="Y62" i="4"/>
  <c r="T63" i="4"/>
  <c r="X63" i="4"/>
  <c r="Y63" i="4"/>
  <c r="T64" i="4"/>
  <c r="X64" i="4"/>
  <c r="Y64" i="4"/>
  <c r="T65" i="4"/>
  <c r="X65" i="4"/>
  <c r="Y65" i="4"/>
  <c r="T66" i="4"/>
  <c r="X66" i="4"/>
  <c r="Y66" i="4"/>
  <c r="T67" i="4"/>
  <c r="X67" i="4"/>
  <c r="Y67" i="4"/>
  <c r="A4" i="6"/>
  <c r="K3" i="8"/>
  <c r="K5" i="8"/>
  <c r="K7" i="8"/>
  <c r="K9" i="8"/>
  <c r="K11" i="8"/>
  <c r="K13" i="8"/>
  <c r="K15" i="8"/>
  <c r="D17" i="8"/>
  <c r="E17" i="8"/>
  <c r="F17" i="8"/>
  <c r="G17" i="8"/>
  <c r="H17" i="8"/>
  <c r="I17" i="8"/>
  <c r="J17" i="8"/>
  <c r="K17" i="8"/>
  <c r="I2" i="9"/>
  <c r="I3" i="9"/>
  <c r="I4" i="9"/>
  <c r="I5" i="9"/>
  <c r="I6" i="9"/>
  <c r="I7" i="9"/>
  <c r="I8" i="9"/>
  <c r="H6" i="12"/>
  <c r="D37" i="12"/>
  <c r="D42" i="12"/>
  <c r="L27" i="12"/>
  <c r="D51" i="12"/>
  <c r="L41" i="12"/>
  <c r="H40" i="12"/>
  <c r="H19" i="12"/>
  <c r="L28" i="12"/>
  <c r="H44" i="12"/>
  <c r="D17" i="12"/>
  <c r="L17" i="12"/>
  <c r="D31" i="12"/>
  <c r="H16" i="12"/>
  <c r="H29" i="12"/>
  <c r="H42" i="12"/>
  <c r="H27" i="12"/>
  <c r="D46" i="12"/>
  <c r="H45" i="12"/>
  <c r="D28" i="12"/>
  <c r="D32" i="12"/>
  <c r="L24" i="12"/>
  <c r="L35" i="12"/>
  <c r="H7" i="12"/>
  <c r="L51" i="12"/>
  <c r="H36" i="12"/>
  <c r="L48" i="12"/>
  <c r="L7" i="12"/>
  <c r="H46" i="12"/>
  <c r="L30" i="12"/>
  <c r="L14" i="12"/>
  <c r="D13" i="12"/>
  <c r="D45" i="12"/>
  <c r="H30" i="12"/>
  <c r="L10" i="12"/>
  <c r="D39" i="12"/>
  <c r="L52" i="12"/>
  <c r="H49" i="12"/>
  <c r="D11" i="12"/>
  <c r="L8" i="12"/>
  <c r="H10" i="12"/>
  <c r="H35" i="12"/>
  <c r="D38" i="12"/>
  <c r="L36" i="12"/>
  <c r="D5" i="12"/>
  <c r="L32" i="12"/>
  <c r="D9" i="12"/>
  <c r="D44" i="12"/>
  <c r="L12" i="12"/>
  <c r="D24" i="12"/>
  <c r="D16" i="12"/>
  <c r="L25" i="12"/>
  <c r="D19" i="12"/>
  <c r="H22" i="12"/>
  <c r="L11" i="12"/>
  <c r="D23" i="12"/>
  <c r="L43" i="12"/>
  <c r="D8" i="12"/>
  <c r="D26" i="12"/>
  <c r="L42" i="12"/>
  <c r="D20" i="12"/>
  <c r="H48" i="12"/>
  <c r="L21" i="12"/>
  <c r="D15" i="12"/>
  <c r="L5" i="12"/>
  <c r="H25" i="12"/>
  <c r="H11" i="12"/>
  <c r="H51" i="12"/>
  <c r="H37" i="12"/>
  <c r="L22" i="12"/>
  <c r="D6" i="12"/>
  <c r="H23" i="12"/>
  <c r="D12" i="12"/>
  <c r="D43" i="12"/>
  <c r="L18" i="12"/>
  <c r="D21" i="12"/>
  <c r="H47" i="12"/>
  <c r="H5" i="12"/>
  <c r="H41" i="12"/>
  <c r="L26" i="12"/>
  <c r="L37" i="12"/>
  <c r="L47" i="12"/>
  <c r="D33" i="12"/>
  <c r="H17" i="12"/>
  <c r="L45" i="12"/>
  <c r="L46" i="12"/>
  <c r="H20" i="12"/>
  <c r="H26" i="12"/>
  <c r="D27" i="12"/>
  <c r="H50" i="12"/>
  <c r="D50" i="12"/>
  <c r="H24" i="12"/>
  <c r="L39" i="12"/>
  <c r="H39" i="12"/>
  <c r="L29" i="12"/>
  <c r="L9" i="12"/>
  <c r="H31" i="12"/>
  <c r="D10" i="12"/>
  <c r="D49" i="12"/>
  <c r="L23" i="12"/>
  <c r="D30" i="12"/>
  <c r="H21" i="12"/>
  <c r="L34" i="12"/>
  <c r="L40" i="12"/>
  <c r="L20" i="12"/>
  <c r="L13" i="12"/>
  <c r="L49" i="12"/>
  <c r="H28" i="12"/>
  <c r="L33" i="12"/>
  <c r="D29" i="12"/>
  <c r="H13" i="12"/>
  <c r="H52" i="12"/>
  <c r="D7" i="12"/>
  <c r="D35" i="12"/>
  <c r="H9" i="12"/>
  <c r="D40" i="12"/>
  <c r="L44" i="12"/>
  <c r="H8" i="12"/>
  <c r="D25" i="12"/>
  <c r="L50" i="12"/>
  <c r="H32" i="12"/>
  <c r="L15" i="12"/>
  <c r="H38" i="12"/>
  <c r="D36" i="12"/>
  <c r="H34" i="12"/>
  <c r="D47" i="12"/>
  <c r="L38" i="12"/>
  <c r="H43" i="12"/>
  <c r="L31" i="12"/>
  <c r="H33" i="12"/>
  <c r="H14" i="12"/>
  <c r="D18" i="12"/>
  <c r="D52" i="12"/>
  <c r="D34" i="12"/>
  <c r="D22" i="12"/>
  <c r="L19" i="12"/>
  <c r="L16" i="12"/>
  <c r="H12" i="12"/>
  <c r="D41" i="12"/>
  <c r="H15" i="12"/>
  <c r="L6" i="12"/>
  <c r="D48" i="12"/>
  <c r="D14" i="12"/>
  <c r="H18" i="12"/>
</calcChain>
</file>

<file path=xl/comments1.xml><?xml version="1.0" encoding="utf-8"?>
<comments xmlns="http://schemas.openxmlformats.org/spreadsheetml/2006/main">
  <authors>
    <author>立岡　恭一</author>
    <author>Kyoichi Tatsuoka</author>
  </authors>
  <commentList>
    <comment ref="B3" authorId="0">
      <text>
        <r>
          <rPr>
            <sz val="11"/>
            <color indexed="81"/>
            <rFont val="ＭＳ Ｐゴシック"/>
            <family val="3"/>
            <charset val="128"/>
          </rPr>
          <t>回答日が入力されると、完了マーク”●”を表示します。計算式を消さないように注意してください。</t>
        </r>
      </text>
    </comment>
    <comment ref="C3" authorId="0">
      <text>
        <r>
          <rPr>
            <sz val="11"/>
            <color indexed="81"/>
            <rFont val="ＭＳ Ｐゴシック"/>
            <family val="3"/>
            <charset val="128"/>
          </rPr>
          <t>ＰＪにて定められた障害番号を入力してください。
採番ルールは、ＰＪで決めてください。
障害登録時は必ず入力してください。</t>
        </r>
      </text>
    </comment>
    <comment ref="D3" authorId="0">
      <text>
        <r>
          <rPr>
            <sz val="11"/>
            <color indexed="81"/>
            <rFont val="ＭＳ Ｐゴシック"/>
            <family val="3"/>
            <charset val="128"/>
          </rPr>
          <t>障害発生時の操作・発生現象等の事実を記入してください。
再現性・環境等調査の助けになる情報も記入してください。</t>
        </r>
      </text>
    </comment>
    <comment ref="E3" authorId="0">
      <text>
        <r>
          <rPr>
            <sz val="11"/>
            <color indexed="81"/>
            <rFont val="ＭＳ Ｐゴシック"/>
            <family val="3"/>
            <charset val="128"/>
          </rPr>
          <t>障害検出時に行っていた作業の工程をリストボックスから選択してください</t>
        </r>
      </text>
    </comment>
    <comment ref="F3" authorId="0">
      <text>
        <r>
          <rPr>
            <sz val="11"/>
            <color indexed="81"/>
            <rFont val="ＭＳ Ｐゴシック"/>
            <family val="3"/>
            <charset val="128"/>
          </rPr>
          <t>障害検出時に動かしていたシステム名、またはレビューしていた機能名の属する大区分名を入力してください。</t>
        </r>
      </text>
    </comment>
    <comment ref="G3" authorId="0">
      <text>
        <r>
          <rPr>
            <sz val="11"/>
            <color indexed="81"/>
            <rFont val="ＭＳ Ｐゴシック"/>
            <family val="3"/>
            <charset val="128"/>
          </rPr>
          <t>障害検出時に動かしていたサブシステム名、またはレビューしていた機能名の属する中区分名を入力してください。</t>
        </r>
      </text>
    </comment>
    <comment ref="H3" authorId="0">
      <text>
        <r>
          <rPr>
            <sz val="11"/>
            <color indexed="81"/>
            <rFont val="ＭＳ Ｐゴシック"/>
            <family val="3"/>
            <charset val="128"/>
          </rPr>
          <t xml:space="preserve">障害検出時に動かしていたプログラム名、またはレビューしていた機能名を入力してください。
</t>
        </r>
      </text>
    </comment>
    <comment ref="I3" authorId="0">
      <text>
        <r>
          <rPr>
            <sz val="11"/>
            <color indexed="81"/>
            <rFont val="ＭＳ Ｐゴシック"/>
            <family val="3"/>
            <charset val="128"/>
          </rPr>
          <t>障害を検出した時の日付を mm/dd 形式で入力してください</t>
        </r>
      </text>
    </comment>
    <comment ref="J3" authorId="0">
      <text>
        <r>
          <rPr>
            <sz val="11"/>
            <color indexed="81"/>
            <rFont val="ＭＳ Ｐゴシック"/>
            <family val="3"/>
            <charset val="128"/>
          </rPr>
          <t>障害検出(発見)者の氏名を入力してください</t>
        </r>
      </text>
    </comment>
    <comment ref="K3" authorId="0">
      <text>
        <r>
          <rPr>
            <sz val="11"/>
            <color indexed="81"/>
            <rFont val="ＭＳ Ｐゴシック"/>
            <family val="3"/>
            <charset val="128"/>
          </rPr>
          <t>障害を回答した時の日付を mm/dd 形式で入力してください。</t>
        </r>
      </text>
    </comment>
    <comment ref="L3" authorId="0">
      <text>
        <r>
          <rPr>
            <sz val="11"/>
            <color indexed="81"/>
            <rFont val="ＭＳ Ｐゴシック"/>
            <family val="3"/>
            <charset val="128"/>
          </rPr>
          <t>障害回答者（障害票返却者）の氏名を入力してください</t>
        </r>
        <r>
          <rPr>
            <sz val="9"/>
            <color indexed="81"/>
            <rFont val="ＭＳ Ｐゴシック"/>
            <family val="3"/>
            <charset val="128"/>
          </rPr>
          <t xml:space="preserve">
</t>
        </r>
      </text>
    </comment>
    <comment ref="M3" authorId="0">
      <text>
        <r>
          <rPr>
            <sz val="11"/>
            <color indexed="81"/>
            <rFont val="ＭＳ Ｐゴシック"/>
            <family val="3"/>
            <charset val="128"/>
          </rPr>
          <t xml:space="preserve">障害の内容がバグか、バグでないのかの切り分けをリストボックスから選択してください
</t>
        </r>
      </text>
    </comment>
    <comment ref="N3" authorId="0">
      <text>
        <r>
          <rPr>
            <sz val="11"/>
            <color indexed="81"/>
            <rFont val="ＭＳ Ｐゴシック"/>
            <family val="3"/>
            <charset val="128"/>
          </rPr>
          <t xml:space="preserve">障害を発見した時の手段（作業内容：テスト、レビュー等)をリストボックスから選択してください
</t>
        </r>
      </text>
    </comment>
    <comment ref="O3" authorId="0">
      <text>
        <r>
          <rPr>
            <sz val="11"/>
            <color indexed="81"/>
            <rFont val="ＭＳ Ｐゴシック"/>
            <family val="3"/>
            <charset val="128"/>
          </rPr>
          <t>障害の状況を分類し、リストボックスから選択して入力してください</t>
        </r>
      </text>
    </comment>
    <comment ref="P3" authorId="0">
      <text>
        <r>
          <rPr>
            <sz val="11"/>
            <color indexed="81"/>
            <rFont val="ＭＳ Ｐゴシック"/>
            <family val="3"/>
            <charset val="128"/>
          </rPr>
          <t>障害の再現姓の有無をリストボックスから選択してください</t>
        </r>
      </text>
    </comment>
    <comment ref="Q3" authorId="0">
      <text>
        <r>
          <rPr>
            <sz val="11"/>
            <color indexed="81"/>
            <rFont val="ＭＳ Ｐゴシック"/>
            <family val="3"/>
            <charset val="128"/>
          </rPr>
          <t>障害の回避策の有無をリストボックスから選択してください</t>
        </r>
      </text>
    </comment>
    <comment ref="R3" authorId="0">
      <text>
        <r>
          <rPr>
            <sz val="11"/>
            <color indexed="81"/>
            <rFont val="ＭＳ Ｐゴシック"/>
            <family val="3"/>
            <charset val="128"/>
          </rPr>
          <t>障害の影響度をリストボックスから選択してください</t>
        </r>
      </text>
    </comment>
    <comment ref="S3" authorId="0">
      <text>
        <r>
          <rPr>
            <sz val="11"/>
            <color indexed="81"/>
            <rFont val="ＭＳ Ｐゴシック"/>
            <family val="3"/>
            <charset val="128"/>
          </rPr>
          <t>同一原因の障害であった場合、先発の障害番号を記入してください。
先発には後発の番号を書かないでください</t>
        </r>
      </text>
    </comment>
    <comment ref="T3" authorId="0">
      <text>
        <r>
          <rPr>
            <sz val="11"/>
            <color indexed="81"/>
            <rFont val="ＭＳ Ｐゴシック"/>
            <family val="3"/>
            <charset val="128"/>
          </rPr>
          <t>障害の発生する一般的な条件、障害の真の原因、対応処置内容を入力してください。バグでない場合はその旨記述してください</t>
        </r>
      </text>
    </comment>
    <comment ref="U3" authorId="0">
      <text>
        <r>
          <rPr>
            <sz val="11"/>
            <color indexed="81"/>
            <rFont val="ＭＳ Ｐゴシック"/>
            <family val="3"/>
            <charset val="128"/>
          </rPr>
          <t>障害の原因区分をリストボックスから選択してください</t>
        </r>
      </text>
    </comment>
    <comment ref="V3" authorId="0">
      <text>
        <r>
          <rPr>
            <sz val="11"/>
            <color indexed="81"/>
            <rFont val="ＭＳ Ｐゴシック"/>
            <family val="3"/>
            <charset val="128"/>
          </rPr>
          <t xml:space="preserve">障害の原因を作り込んだ工程をリストボックスから選択してください
</t>
        </r>
      </text>
    </comment>
    <comment ref="W3" authorId="0">
      <text>
        <r>
          <rPr>
            <sz val="11"/>
            <color indexed="81"/>
            <rFont val="ＭＳ Ｐゴシック"/>
            <family val="3"/>
            <charset val="128"/>
          </rPr>
          <t>障害の存在していた物件（仕様書、ソース等）の名称を入力してください</t>
        </r>
      </text>
    </comment>
    <comment ref="X3" authorId="0">
      <text>
        <r>
          <rPr>
            <sz val="11"/>
            <color indexed="81"/>
            <rFont val="ＭＳ Ｐゴシック"/>
            <family val="3"/>
            <charset val="128"/>
          </rPr>
          <t>現在の障害の調査・回答状況を入力します</t>
        </r>
      </text>
    </comment>
    <comment ref="Y3" authorId="0">
      <text>
        <r>
          <rPr>
            <sz val="11"/>
            <color indexed="81"/>
            <rFont val="ＭＳ Ｐゴシック"/>
            <family val="3"/>
            <charset val="128"/>
          </rPr>
          <t xml:space="preserve">障害の発生種別（バグ、デグレード、新規、改造）をリストボックスから選択してください
</t>
        </r>
      </text>
    </comment>
    <comment ref="Z3" authorId="0">
      <text>
        <r>
          <rPr>
            <sz val="11"/>
            <color indexed="81"/>
            <rFont val="ＭＳ Ｐゴシック"/>
            <family val="3"/>
            <charset val="128"/>
          </rPr>
          <t>障害の発生する一般的な条件、障害の真の原因、対応処置内容を入力してください。バグでない場合はその旨記述してください</t>
        </r>
      </text>
    </comment>
    <comment ref="AA3" authorId="0">
      <text>
        <r>
          <rPr>
            <sz val="11"/>
            <color indexed="81"/>
            <rFont val="ＭＳ Ｐゴシック"/>
            <family val="3"/>
            <charset val="128"/>
          </rPr>
          <t>障害種別をリストボックスより選択してください</t>
        </r>
      </text>
    </comment>
    <comment ref="AB3" authorId="0">
      <text>
        <r>
          <rPr>
            <sz val="11"/>
            <color indexed="81"/>
            <rFont val="ＭＳ Ｐゴシック"/>
            <family val="3"/>
            <charset val="128"/>
          </rPr>
          <t>修正物件を修正した日付を mm/dd形式で入力してください</t>
        </r>
      </text>
    </comment>
    <comment ref="AC3" authorId="0">
      <text>
        <r>
          <rPr>
            <sz val="11"/>
            <color indexed="81"/>
            <rFont val="ＭＳ Ｐゴシック"/>
            <family val="3"/>
            <charset val="128"/>
          </rPr>
          <t>修正内容を検証する予定日の日付を mm/dd形式で入力してください</t>
        </r>
      </text>
    </comment>
    <comment ref="AD3" authorId="0">
      <text>
        <r>
          <rPr>
            <sz val="11"/>
            <color indexed="81"/>
            <rFont val="ＭＳ Ｐゴシック"/>
            <family val="3"/>
            <charset val="128"/>
          </rPr>
          <t>修正内容を検証した日付を mm/dd形式で入力してください</t>
        </r>
      </text>
    </comment>
    <comment ref="AE3" authorId="0">
      <text>
        <r>
          <rPr>
            <sz val="11"/>
            <color indexed="81"/>
            <rFont val="ＭＳ Ｐゴシック"/>
            <family val="3"/>
            <charset val="128"/>
          </rPr>
          <t>修正物件を新しくリリースする時の、新バージョンを入力してください</t>
        </r>
      </text>
    </comment>
    <comment ref="AF3" authorId="0">
      <text>
        <r>
          <rPr>
            <sz val="11"/>
            <color indexed="81"/>
            <rFont val="ＭＳ Ｐゴシック"/>
            <family val="3"/>
            <charset val="128"/>
          </rPr>
          <t>修正物件をリリースする予定日の日付をmm/dd形式で入力してください</t>
        </r>
      </text>
    </comment>
    <comment ref="AG3" authorId="0">
      <text>
        <r>
          <rPr>
            <sz val="11"/>
            <color indexed="81"/>
            <rFont val="ＭＳ Ｐゴシック"/>
            <family val="3"/>
            <charset val="128"/>
          </rPr>
          <t>修正物件を正式にリリースした時の日付をmm/dd形式で入力してください</t>
        </r>
      </text>
    </comment>
    <comment ref="AH3" authorId="0">
      <text>
        <r>
          <rPr>
            <sz val="11"/>
            <color indexed="81"/>
            <rFont val="ＭＳ Ｐゴシック"/>
            <family val="3"/>
            <charset val="128"/>
          </rPr>
          <t>各業務Ｇの障害管理者が回答内容を確認・承認した日付をmm/ddの形式で入力してください</t>
        </r>
      </text>
    </comment>
    <comment ref="AI3" authorId="0">
      <text>
        <r>
          <rPr>
            <sz val="11"/>
            <color indexed="81"/>
            <rFont val="ＭＳ Ｐゴシック"/>
            <family val="3"/>
            <charset val="128"/>
          </rPr>
          <t>現在この障害の原因調査・処置等を担当している人の氏名</t>
        </r>
      </text>
    </comment>
    <comment ref="AJ3" authorId="0">
      <text>
        <r>
          <rPr>
            <sz val="11"/>
            <color indexed="81"/>
            <rFont val="ＭＳ Ｐゴシック"/>
            <family val="3"/>
            <charset val="128"/>
          </rPr>
          <t>バグ原因が検出時のシステムと異なる場合、原因となったシステム名を入力してください</t>
        </r>
      </text>
    </comment>
    <comment ref="AK3" authorId="0">
      <text>
        <r>
          <rPr>
            <sz val="11"/>
            <color indexed="81"/>
            <rFont val="ＭＳ Ｐゴシック"/>
            <family val="3"/>
            <charset val="128"/>
          </rPr>
          <t>バグ原因が検出時のサブシステムと異なる場合、原因となったサブシステム名を入力してください</t>
        </r>
      </text>
    </comment>
    <comment ref="AL3" authorId="0">
      <text>
        <r>
          <rPr>
            <sz val="11"/>
            <color indexed="81"/>
            <rFont val="ＭＳ Ｐゴシック"/>
            <family val="3"/>
            <charset val="128"/>
          </rPr>
          <t>障害摘出者の所属を入力してください。
（組織名ではありません）
ユーザ：エンドユーザ
ＳＥ：ＳＥ
内部：ＳＥ以外の開発者</t>
        </r>
      </text>
    </comment>
    <comment ref="AM3" authorId="0">
      <text>
        <r>
          <rPr>
            <sz val="11"/>
            <color indexed="81"/>
            <rFont val="ＭＳ Ｐゴシック"/>
            <family val="3"/>
            <charset val="128"/>
          </rPr>
          <t>重大バグかどうかの区分を入力してください。
重大バグの場合の入力は必須</t>
        </r>
      </text>
    </comment>
    <comment ref="AO3" authorId="1">
      <text>
        <r>
          <rPr>
            <sz val="11"/>
            <color indexed="81"/>
            <rFont val="ＭＳ Ｐゴシック"/>
            <family val="3"/>
            <charset val="128"/>
          </rPr>
          <t>レビュー記録票（単票）を識別する管理番号です。</t>
        </r>
      </text>
    </comment>
    <comment ref="AP3" authorId="1">
      <text>
        <r>
          <rPr>
            <sz val="11"/>
            <color indexed="81"/>
            <rFont val="ＭＳ Ｐゴシック"/>
            <family val="3"/>
            <charset val="128"/>
          </rPr>
          <t>計算式です。直接数値を入力しないで下さい。
調査回答工数=調査工数＋回答工数</t>
        </r>
      </text>
    </comment>
    <comment ref="AS3" authorId="1">
      <text>
        <r>
          <rPr>
            <sz val="11"/>
            <color indexed="81"/>
            <rFont val="ＭＳ Ｐゴシック"/>
            <family val="3"/>
            <charset val="128"/>
          </rPr>
          <t>レビューで障害を複数発見した場合、まとめて件数を書くことができます。
（空白の場合は１件とカウントされます）</t>
        </r>
      </text>
    </comment>
  </commentList>
</comments>
</file>

<file path=xl/comments2.xml><?xml version="1.0" encoding="utf-8"?>
<comments xmlns="http://schemas.openxmlformats.org/spreadsheetml/2006/main">
  <authors>
    <author>立岡　恭一</author>
    <author>kyouichitatsuoka</author>
    <author>Kyoichi Tatsuoka</author>
    <author>Kyoichi Tatsuoka NEC Soft</author>
    <author>Admin</author>
  </authors>
  <commentList>
    <comment ref="A2" authorId="0">
      <text>
        <r>
          <rPr>
            <b/>
            <sz val="11"/>
            <color indexed="81"/>
            <rFont val="ＭＳ Ｐゴシック"/>
            <family val="3"/>
            <charset val="128"/>
          </rPr>
          <t>名前(２行目)は変更しないでください。</t>
        </r>
      </text>
    </comment>
    <comment ref="C3" authorId="0">
      <text>
        <r>
          <rPr>
            <b/>
            <sz val="12"/>
            <color indexed="81"/>
            <rFont val="ＭＳ Ｐゴシック"/>
            <family val="3"/>
            <charset val="128"/>
          </rPr>
          <t>　品質会計総括表の各工程と対応させる工程名を定義してください。
　原因/検出工程となる上流工程から順に空白セルを設けず、連続して入力して下さい。
　使用しない工程は”－”にし、空白のセルにはしないでください。</t>
        </r>
      </text>
    </comment>
    <comment ref="E3" authorId="1">
      <text>
        <r>
          <rPr>
            <b/>
            <sz val="11"/>
            <color indexed="81"/>
            <rFont val="ＭＳ Ｐゴシック"/>
            <family val="3"/>
            <charset val="128"/>
          </rPr>
          <t>障害検出時機能名（G列）の候補を設定します</t>
        </r>
      </text>
    </comment>
    <comment ref="F3" authorId="0">
      <text>
        <r>
          <rPr>
            <b/>
            <sz val="11"/>
            <color indexed="81"/>
            <rFont val="ＭＳ Ｐゴシック"/>
            <family val="3"/>
            <charset val="128"/>
          </rPr>
          <t>障害の切り分けをする文字/記号等を入力してください。
 "バグ"：バグである(必須：Ｆ４セル)
 その他：任意</t>
        </r>
      </text>
    </comment>
    <comment ref="P3" authorId="2">
      <text>
        <r>
          <rPr>
            <b/>
            <sz val="11"/>
            <color indexed="81"/>
            <rFont val="ＭＳ Ｐゴシック"/>
            <family val="3"/>
            <charset val="128"/>
          </rPr>
          <t>品質会計の検出者所属です。
所属組織名ではありません。</t>
        </r>
      </text>
    </comment>
    <comment ref="R3" authorId="2">
      <text>
        <r>
          <rPr>
            <b/>
            <sz val="11"/>
            <color indexed="81"/>
            <rFont val="ＭＳ Ｐゴシック"/>
            <family val="3"/>
            <charset val="128"/>
          </rPr>
          <t>障害検出者の所属組織名（担当Ｇ）を指定します。</t>
        </r>
      </text>
    </comment>
    <comment ref="F4" authorId="0">
      <text>
        <r>
          <rPr>
            <b/>
            <sz val="11"/>
            <color indexed="81"/>
            <rFont val="ＭＳ Ｐゴシック"/>
            <family val="3"/>
            <charset val="128"/>
          </rPr>
          <t>ここ（Ｆ４）セルにバグの時の設定値を入れてください。
（品質会計票への出力条件です）</t>
        </r>
      </text>
    </comment>
    <comment ref="F5" authorId="3">
      <text>
        <r>
          <rPr>
            <b/>
            <sz val="11"/>
            <color indexed="81"/>
            <rFont val="ＭＳ Ｐゴシック"/>
            <family val="3"/>
            <charset val="128"/>
          </rPr>
          <t>ここ（Ｆ５）セルにAPバグ以外のバグの時の設定値を入れてください
（品質会計票への出力条件です）</t>
        </r>
      </text>
    </comment>
    <comment ref="B20" authorId="4">
      <text>
        <r>
          <rPr>
            <b/>
            <sz val="11"/>
            <color indexed="81"/>
            <rFont val="ＭＳ Ｐゴシック"/>
            <family val="3"/>
            <charset val="128"/>
          </rPr>
          <t>上流工程（原因/検出工程）の数を設定してください</t>
        </r>
        <r>
          <rPr>
            <sz val="11"/>
            <color indexed="81"/>
            <rFont val="ＭＳ Ｐゴシック"/>
            <family val="3"/>
            <charset val="128"/>
          </rPr>
          <t xml:space="preserve">
</t>
        </r>
      </text>
    </comment>
    <comment ref="C23" authorId="0">
      <text>
        <r>
          <rPr>
            <sz val="11"/>
            <color indexed="81"/>
            <rFont val="ＭＳ Ｐゴシック"/>
            <family val="3"/>
            <charset val="128"/>
          </rPr>
          <t>バグを組み込む可能性のある工程（品質会計では製造までとしている）</t>
        </r>
      </text>
    </comment>
    <comment ref="C25" authorId="0">
      <text>
        <r>
          <rPr>
            <sz val="11"/>
            <color indexed="81"/>
            <rFont val="ＭＳ Ｐゴシック"/>
            <family val="3"/>
            <charset val="128"/>
          </rPr>
          <t>バグを検出する工程（品質会計では全工程が該当する）</t>
        </r>
      </text>
    </comment>
  </commentList>
</comments>
</file>

<file path=xl/comments3.xml><?xml version="1.0" encoding="utf-8"?>
<comments xmlns="http://schemas.openxmlformats.org/spreadsheetml/2006/main">
  <authors>
    <author>Kyoichi Tatsuoka</author>
    <author>kyouichitatsuoka</author>
    <author>立岡　恭一</author>
  </authors>
  <commentList>
    <comment ref="B3" authorId="0">
      <text>
        <r>
          <rPr>
            <b/>
            <sz val="12"/>
            <color indexed="81"/>
            <rFont val="ＭＳ Ｐゴシック"/>
            <family val="3"/>
            <charset val="128"/>
          </rPr>
          <t>障害一覧で表示しない列に対して"×"を設定します。
検出日、回答日、件数は非表示にしないでください。</t>
        </r>
      </text>
    </comment>
    <comment ref="F3" authorId="1">
      <text>
        <r>
          <rPr>
            <b/>
            <sz val="11"/>
            <color indexed="81"/>
            <rFont val="ＭＳ Ｐゴシック"/>
            <family val="3"/>
            <charset val="128"/>
          </rPr>
          <t>　残一覧印刷時の項目を定義します。
　列記号に設定した順に印刷されます。
　（設定欄に"○"も必要です）</t>
        </r>
      </text>
    </comment>
    <comment ref="J3" authorId="1">
      <text>
        <r>
          <rPr>
            <b/>
            <sz val="11"/>
            <color indexed="81"/>
            <rFont val="ＭＳ Ｐゴシック"/>
            <family val="3"/>
            <charset val="128"/>
          </rPr>
          <t>　Ｍｙ印刷実行時の出力項目を定義します。
　列記号に設定した順に印刷されます。
　（設定欄に"○"も必要です）</t>
        </r>
      </text>
    </comment>
    <comment ref="B4" authorId="2">
      <text>
        <r>
          <rPr>
            <b/>
            <sz val="11"/>
            <color indexed="81"/>
            <rFont val="ＭＳ Ｐゴシック"/>
            <family val="3"/>
            <charset val="128"/>
          </rPr>
          <t>入力シートで表示させたくない列の列記号(半角アルファベット)を選択してください
途中空白行を空けないでください</t>
        </r>
      </text>
    </comment>
    <comment ref="C4" authorId="2">
      <text>
        <r>
          <rPr>
            <b/>
            <sz val="11"/>
            <color indexed="81"/>
            <rFont val="ＭＳ Ｐゴシック"/>
            <family val="3"/>
            <charset val="128"/>
          </rPr>
          <t>列を表示しない場合は必ず”×”を選択してください</t>
        </r>
      </text>
    </comment>
    <comment ref="F4" authorId="2">
      <text>
        <r>
          <rPr>
            <b/>
            <sz val="11"/>
            <color indexed="81"/>
            <rFont val="ＭＳ Ｐゴシック"/>
            <family val="3"/>
            <charset val="128"/>
          </rPr>
          <t>　残一覧印刷で印刷する列の列記号(半角アルファベット)を選択入力してください
　途中空白行を空けないでください
　指定された順に列を入れ替えて印刷します</t>
        </r>
      </text>
    </comment>
    <comment ref="G4" authorId="2">
      <text>
        <r>
          <rPr>
            <b/>
            <sz val="11"/>
            <color indexed="81"/>
            <rFont val="ＭＳ Ｐゴシック"/>
            <family val="3"/>
            <charset val="128"/>
          </rPr>
          <t>列を印刷する場合は必ず”○”を選択してください</t>
        </r>
      </text>
    </comment>
    <comment ref="J4" authorId="2">
      <text>
        <r>
          <rPr>
            <b/>
            <sz val="11"/>
            <color indexed="81"/>
            <rFont val="ＭＳ Ｐゴシック"/>
            <family val="3"/>
            <charset val="128"/>
          </rPr>
          <t>　Ｍｙ印刷で印刷する列の列記号(半角アルファベット)を選択入力してください
　途中空白行を空けないでください
　指定された順に列を入れ替えて印刷します</t>
        </r>
      </text>
    </comment>
  </commentList>
</comments>
</file>

<file path=xl/sharedStrings.xml><?xml version="1.0" encoding="utf-8"?>
<sst xmlns="http://schemas.openxmlformats.org/spreadsheetml/2006/main" count="890" uniqueCount="505">
  <si>
    <t>完了</t>
  </si>
  <si>
    <t>回答日</t>
  </si>
  <si>
    <t>同一障害番号</t>
  </si>
  <si>
    <t>合計 / 件数</t>
  </si>
  <si>
    <t>日付</t>
  </si>
  <si>
    <t>回答件数</t>
  </si>
  <si>
    <t>残件数</t>
  </si>
  <si>
    <t>月</t>
  </si>
  <si>
    <t>年</t>
  </si>
  <si>
    <t>検出日</t>
  </si>
  <si>
    <t>集計</t>
  </si>
  <si>
    <t>曜日</t>
  </si>
  <si>
    <t>検出件数</t>
  </si>
  <si>
    <t>(空白)</t>
  </si>
  <si>
    <t>総計</t>
  </si>
  <si>
    <t>2006年1月13日(金)現在</t>
  </si>
  <si>
    <t>2005年</t>
  </si>
  <si>
    <t>2006年</t>
  </si>
  <si>
    <t>12月</t>
  </si>
  <si>
    <t>1月</t>
  </si>
  <si>
    <t>月間合計</t>
  </si>
  <si>
    <t>　累計　</t>
  </si>
  <si>
    <t>検出累積</t>
  </si>
  <si>
    <t>原因工程</t>
  </si>
  <si>
    <t>検出工程</t>
  </si>
  <si>
    <t>詳細設計</t>
  </si>
  <si>
    <t>製造</t>
  </si>
  <si>
    <t>単体ﾃｽﾄ</t>
  </si>
  <si>
    <t>結合ﾃｽﾄ</t>
  </si>
  <si>
    <t>総合ﾃｽﾄ</t>
  </si>
  <si>
    <t>合計</t>
  </si>
  <si>
    <t>予定</t>
  </si>
  <si>
    <t>実績</t>
  </si>
  <si>
    <t>目標</t>
  </si>
  <si>
    <t>_SN01</t>
  </si>
  <si>
    <t>_SN02</t>
  </si>
  <si>
    <t>_SN03</t>
  </si>
  <si>
    <t>_SN04</t>
  </si>
  <si>
    <t>_SN05</t>
  </si>
  <si>
    <t>_SN06</t>
  </si>
  <si>
    <t>_SN07</t>
  </si>
  <si>
    <t>_SN08</t>
  </si>
  <si>
    <t>_SN09</t>
  </si>
  <si>
    <t>_SN10</t>
  </si>
  <si>
    <t>_SN11</t>
  </si>
  <si>
    <t>_SN12</t>
  </si>
  <si>
    <t>_SN13</t>
  </si>
  <si>
    <t>_SN14</t>
  </si>
  <si>
    <t>_SN15</t>
  </si>
  <si>
    <t>_SN16</t>
  </si>
  <si>
    <t>障害種別</t>
  </si>
  <si>
    <t>処置種別</t>
  </si>
  <si>
    <t>ユーザ</t>
  </si>
  <si>
    <t>APバグ以外</t>
  </si>
  <si>
    <t>SE</t>
  </si>
  <si>
    <t>バグでない</t>
  </si>
  <si>
    <t>不明</t>
  </si>
  <si>
    <t>ﾃﾞｰﾀﾍﾞｰｽﾐｽ</t>
  </si>
  <si>
    <t>システムダウン</t>
  </si>
  <si>
    <t>ﾌｧｲﾙﾐｽ</t>
  </si>
  <si>
    <t>ﾌｧｲﾙ/DBｱｸｾｽｴﾗｰ</t>
  </si>
  <si>
    <t>ﾘﾘｰｽﾐｽ</t>
  </si>
  <si>
    <t>クレーム</t>
  </si>
  <si>
    <t>Ｑ＆Ａ</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</si>
  <si>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</si>
  <si>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</si>
  <si>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</si>
  <si>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</si>
  <si>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</si>
  <si>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</si>
  <si>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</si>
  <si>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</si>
  <si>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</si>
  <si>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</si>
  <si>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</si>
  <si>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</si>
  <si>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</si>
  <si>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</si>
  <si>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</si>
  <si>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</si>
  <si>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</si>
  <si>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</si>
  <si>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</si>
  <si>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</si>
  <si>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</si>
  <si>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</si>
  <si>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</si>
  <si>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</si>
  <si>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</si>
  <si>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</si>
  <si>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</si>
  <si>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</si>
  <si>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</si>
  <si>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</si>
  <si>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</si>
  <si>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</si>
  <si>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</si>
  <si>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</si>
  <si>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</si>
  <si>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</si>
  <si>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</si>
  <si>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</si>
  <si>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</si>
  <si>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t>
  </si>
  <si>
    <t>AN</t>
  </si>
  <si>
    <t>障害一覧</t>
    <rPh sb="0" eb="2">
      <t>ショウガイ</t>
    </rPh>
    <rPh sb="2" eb="4">
      <t>イチラン</t>
    </rPh>
    <phoneticPr fontId="26"/>
  </si>
  <si>
    <t>発見工程</t>
    <rPh sb="0" eb="2">
      <t>ハッケン</t>
    </rPh>
    <rPh sb="2" eb="4">
      <t>コウテイ</t>
    </rPh>
    <phoneticPr fontId="26"/>
  </si>
  <si>
    <t>大区分</t>
    <rPh sb="0" eb="3">
      <t>ダイクブン</t>
    </rPh>
    <phoneticPr fontId="26"/>
  </si>
  <si>
    <t>中区分</t>
    <rPh sb="0" eb="1">
      <t>チュウ</t>
    </rPh>
    <rPh sb="1" eb="3">
      <t>クブン</t>
    </rPh>
    <phoneticPr fontId="26"/>
  </si>
  <si>
    <t>回答日</t>
    <rPh sb="0" eb="3">
      <t>カイトウビ</t>
    </rPh>
    <phoneticPr fontId="26"/>
  </si>
  <si>
    <t>バグ</t>
    <phoneticPr fontId="26"/>
  </si>
  <si>
    <t>原因工程</t>
    <rPh sb="0" eb="2">
      <t>ゲンイン</t>
    </rPh>
    <rPh sb="2" eb="4">
      <t>コウテイ</t>
    </rPh>
    <phoneticPr fontId="26"/>
  </si>
  <si>
    <t>ﾕｰｻﾞ･SE</t>
    <phoneticPr fontId="23"/>
  </si>
  <si>
    <t>発行者所属</t>
    <rPh sb="0" eb="3">
      <t>ハッコウシャ</t>
    </rPh>
    <rPh sb="3" eb="5">
      <t>ショゾク</t>
    </rPh>
    <phoneticPr fontId="26"/>
  </si>
  <si>
    <t>レビュー</t>
    <phoneticPr fontId="26"/>
  </si>
  <si>
    <t>障害番号</t>
    <rPh sb="0" eb="2">
      <t>ショウガイ</t>
    </rPh>
    <rPh sb="2" eb="4">
      <t>バンゴウ</t>
    </rPh>
    <phoneticPr fontId="26"/>
  </si>
  <si>
    <t>障害状況(操作・現象)</t>
    <rPh sb="2" eb="4">
      <t>ジョウキョウ</t>
    </rPh>
    <rPh sb="5" eb="7">
      <t>ソウサ</t>
    </rPh>
    <rPh sb="8" eb="10">
      <t>ゲンショウ</t>
    </rPh>
    <phoneticPr fontId="26"/>
  </si>
  <si>
    <t>検出時工程</t>
    <rPh sb="0" eb="2">
      <t>ケンシュツ</t>
    </rPh>
    <rPh sb="2" eb="3">
      <t>ジ</t>
    </rPh>
    <rPh sb="3" eb="5">
      <t>コウテイ</t>
    </rPh>
    <phoneticPr fontId="26"/>
  </si>
  <si>
    <t>検出時機能
システム名</t>
    <rPh sb="0" eb="2">
      <t>ケンシュツ</t>
    </rPh>
    <rPh sb="2" eb="3">
      <t>ジ</t>
    </rPh>
    <rPh sb="3" eb="5">
      <t>キノウ</t>
    </rPh>
    <rPh sb="10" eb="11">
      <t>ナ</t>
    </rPh>
    <phoneticPr fontId="26"/>
  </si>
  <si>
    <t>検出時機能
機能名</t>
    <rPh sb="0" eb="2">
      <t>ケンシュツ</t>
    </rPh>
    <rPh sb="2" eb="3">
      <t>ジ</t>
    </rPh>
    <rPh sb="3" eb="5">
      <t>キノウ</t>
    </rPh>
    <rPh sb="6" eb="9">
      <t>キノウメイ</t>
    </rPh>
    <phoneticPr fontId="26"/>
  </si>
  <si>
    <t>検出時機能
ﾌﾟﾛｸﾞﾗﾑ名</t>
    <rPh sb="0" eb="2">
      <t>ケンシュツ</t>
    </rPh>
    <rPh sb="2" eb="3">
      <t>ジ</t>
    </rPh>
    <rPh sb="3" eb="5">
      <t>キノウ</t>
    </rPh>
    <rPh sb="13" eb="14">
      <t>メイ</t>
    </rPh>
    <phoneticPr fontId="26"/>
  </si>
  <si>
    <t>検出日</t>
    <rPh sb="0" eb="2">
      <t>ケンシュツ</t>
    </rPh>
    <rPh sb="2" eb="3">
      <t>ビ</t>
    </rPh>
    <phoneticPr fontId="26"/>
  </si>
  <si>
    <t>検出者名</t>
    <rPh sb="0" eb="2">
      <t>ケンシュツ</t>
    </rPh>
    <rPh sb="3" eb="4">
      <t>ナ</t>
    </rPh>
    <phoneticPr fontId="26"/>
  </si>
  <si>
    <t>回答者名</t>
    <rPh sb="3" eb="4">
      <t>ナ</t>
    </rPh>
    <phoneticPr fontId="26"/>
  </si>
  <si>
    <t>バグ
区分</t>
    <rPh sb="3" eb="5">
      <t>クブン</t>
    </rPh>
    <phoneticPr fontId="26"/>
  </si>
  <si>
    <t>検出手段</t>
    <rPh sb="0" eb="2">
      <t>ケンシュツ</t>
    </rPh>
    <rPh sb="2" eb="4">
      <t>シュダン</t>
    </rPh>
    <phoneticPr fontId="26"/>
  </si>
  <si>
    <t>障害区分</t>
    <rPh sb="0" eb="2">
      <t>ショウガイ</t>
    </rPh>
    <phoneticPr fontId="26"/>
  </si>
  <si>
    <t>再現性</t>
    <rPh sb="0" eb="3">
      <t>サイゲンセイ</t>
    </rPh>
    <phoneticPr fontId="26"/>
  </si>
  <si>
    <t>回避策</t>
    <rPh sb="0" eb="3">
      <t>カイヒサク</t>
    </rPh>
    <phoneticPr fontId="26"/>
  </si>
  <si>
    <t>影響度</t>
    <rPh sb="0" eb="3">
      <t>エイキョウド</t>
    </rPh>
    <phoneticPr fontId="26"/>
  </si>
  <si>
    <t>発生条件・原因</t>
    <rPh sb="0" eb="2">
      <t>ハッセイ</t>
    </rPh>
    <rPh sb="2" eb="4">
      <t>ジョウケン</t>
    </rPh>
    <phoneticPr fontId="26"/>
  </si>
  <si>
    <t>原因区分</t>
    <rPh sb="0" eb="2">
      <t>ゲンイン</t>
    </rPh>
    <rPh sb="2" eb="4">
      <t>クブン</t>
    </rPh>
    <phoneticPr fontId="26"/>
  </si>
  <si>
    <t>不良物件名</t>
    <rPh sb="0" eb="2">
      <t>フリョウ</t>
    </rPh>
    <rPh sb="2" eb="4">
      <t>ブッケン</t>
    </rPh>
    <rPh sb="4" eb="5">
      <t>ナ</t>
    </rPh>
    <phoneticPr fontId="26"/>
  </si>
  <si>
    <t>ステータス</t>
    <phoneticPr fontId="26"/>
  </si>
  <si>
    <t>障害種別</t>
    <rPh sb="0" eb="2">
      <t>ショウガイ</t>
    </rPh>
    <rPh sb="2" eb="4">
      <t>シュベツ</t>
    </rPh>
    <phoneticPr fontId="26"/>
  </si>
  <si>
    <t>処置</t>
    <rPh sb="0" eb="2">
      <t>ショチ</t>
    </rPh>
    <phoneticPr fontId="26"/>
  </si>
  <si>
    <t>処置種別</t>
    <rPh sb="0" eb="2">
      <t>ショチ</t>
    </rPh>
    <rPh sb="2" eb="4">
      <t>シュベツ</t>
    </rPh>
    <phoneticPr fontId="26"/>
  </si>
  <si>
    <t>修正日</t>
    <rPh sb="0" eb="3">
      <t>シュウセイビ</t>
    </rPh>
    <phoneticPr fontId="26"/>
  </si>
  <si>
    <t>検証予定日</t>
    <rPh sb="4" eb="5">
      <t>ヒ</t>
    </rPh>
    <phoneticPr fontId="26"/>
  </si>
  <si>
    <t>検証実施日</t>
    <rPh sb="2" eb="4">
      <t>ジッシ</t>
    </rPh>
    <rPh sb="4" eb="5">
      <t>ヒ</t>
    </rPh>
    <phoneticPr fontId="26"/>
  </si>
  <si>
    <t>ﾘﾘｰｽ
ﾊﾞｰｼﾞｮﾝ</t>
    <phoneticPr fontId="26"/>
  </si>
  <si>
    <t>回答(ﾘﾘｰｽ)予定日</t>
    <rPh sb="0" eb="2">
      <t>カイトウ</t>
    </rPh>
    <rPh sb="10" eb="11">
      <t>ヒ</t>
    </rPh>
    <phoneticPr fontId="26"/>
  </si>
  <si>
    <t>リリース日</t>
    <rPh sb="4" eb="5">
      <t>ビ</t>
    </rPh>
    <phoneticPr fontId="26"/>
  </si>
  <si>
    <t>管理者確認日</t>
    <rPh sb="0" eb="3">
      <t>カンリシャ</t>
    </rPh>
    <rPh sb="3" eb="5">
      <t>カクニン</t>
    </rPh>
    <rPh sb="5" eb="6">
      <t>ビ</t>
    </rPh>
    <phoneticPr fontId="26"/>
  </si>
  <si>
    <t>現担当者名</t>
    <rPh sb="0" eb="1">
      <t>ゲン</t>
    </rPh>
    <rPh sb="1" eb="4">
      <t>タントウシャ</t>
    </rPh>
    <rPh sb="4" eb="5">
      <t>ナ</t>
    </rPh>
    <phoneticPr fontId="26"/>
  </si>
  <si>
    <t>原因システム名</t>
    <rPh sb="0" eb="2">
      <t>ゲンイン</t>
    </rPh>
    <rPh sb="6" eb="7">
      <t>ナ</t>
    </rPh>
    <phoneticPr fontId="26"/>
  </si>
  <si>
    <t>原因機能名</t>
    <rPh sb="0" eb="2">
      <t>ゲンイン</t>
    </rPh>
    <rPh sb="2" eb="5">
      <t>キノウメイ</t>
    </rPh>
    <phoneticPr fontId="26"/>
  </si>
  <si>
    <t>検出者
所属</t>
    <rPh sb="0" eb="2">
      <t>ケンシュツ</t>
    </rPh>
    <rPh sb="2" eb="3">
      <t>シャ</t>
    </rPh>
    <rPh sb="4" eb="6">
      <t>ショゾク</t>
    </rPh>
    <phoneticPr fontId="26"/>
  </si>
  <si>
    <t>重大バグ</t>
    <rPh sb="0" eb="2">
      <t>ジュウダイ</t>
    </rPh>
    <phoneticPr fontId="26"/>
  </si>
  <si>
    <t>担当Ｇ</t>
    <rPh sb="0" eb="2">
      <t>タントウ</t>
    </rPh>
    <phoneticPr fontId="26"/>
  </si>
  <si>
    <t>品質記録番号</t>
    <rPh sb="0" eb="2">
      <t>ヒンシツ</t>
    </rPh>
    <rPh sb="2" eb="4">
      <t>キロク</t>
    </rPh>
    <rPh sb="4" eb="6">
      <t>バンゴウ</t>
    </rPh>
    <phoneticPr fontId="26"/>
  </si>
  <si>
    <t>調査回答工数</t>
    <rPh sb="0" eb="2">
      <t>チョウサ</t>
    </rPh>
    <rPh sb="2" eb="4">
      <t>カイトウ</t>
    </rPh>
    <rPh sb="4" eb="6">
      <t>コウスウ</t>
    </rPh>
    <phoneticPr fontId="26"/>
  </si>
  <si>
    <t>調査工数</t>
    <rPh sb="0" eb="2">
      <t>チョウサ</t>
    </rPh>
    <rPh sb="2" eb="4">
      <t>コウスウ</t>
    </rPh>
    <phoneticPr fontId="26"/>
  </si>
  <si>
    <t>処置工数</t>
    <rPh sb="0" eb="2">
      <t>ショチ</t>
    </rPh>
    <rPh sb="2" eb="4">
      <t>コウスウ</t>
    </rPh>
    <phoneticPr fontId="26"/>
  </si>
  <si>
    <t>件数</t>
    <rPh sb="0" eb="2">
      <t>ケンスウ</t>
    </rPh>
    <phoneticPr fontId="26"/>
  </si>
  <si>
    <t>日付</t>
    <phoneticPr fontId="26"/>
  </si>
  <si>
    <t>日</t>
    <phoneticPr fontId="26"/>
  </si>
  <si>
    <t>検出件数</t>
    <phoneticPr fontId="26"/>
  </si>
  <si>
    <t>回答件数</t>
    <phoneticPr fontId="26"/>
  </si>
  <si>
    <t>残件数</t>
    <phoneticPr fontId="26"/>
  </si>
  <si>
    <t>月</t>
    <phoneticPr fontId="26"/>
  </si>
  <si>
    <t>年</t>
    <phoneticPr fontId="26"/>
  </si>
  <si>
    <t>検出累積</t>
    <phoneticPr fontId="26"/>
  </si>
  <si>
    <t>回答累積</t>
    <phoneticPr fontId="26"/>
  </si>
  <si>
    <t>回答累積</t>
    <rPh sb="0" eb="2">
      <t>カイトウ</t>
    </rPh>
    <rPh sb="2" eb="4">
      <t>ルイセキ</t>
    </rPh>
    <phoneticPr fontId="26"/>
  </si>
  <si>
    <t>概要設計</t>
    <rPh sb="0" eb="2">
      <t>ガイヨウ</t>
    </rPh>
    <rPh sb="2" eb="4">
      <t>セッケイ</t>
    </rPh>
    <phoneticPr fontId="23"/>
  </si>
  <si>
    <t>受入ﾃｽﾄ</t>
    <rPh sb="0" eb="2">
      <t>ウケイレ</t>
    </rPh>
    <phoneticPr fontId="23"/>
  </si>
  <si>
    <t>環境設定１</t>
    <rPh sb="0" eb="2">
      <t>カンキョウ</t>
    </rPh>
    <rPh sb="2" eb="4">
      <t>セッテイ</t>
    </rPh>
    <phoneticPr fontId="23"/>
  </si>
  <si>
    <t>入力規則定義、名前→選択肢定義</t>
    <rPh sb="0" eb="2">
      <t>ニュウリョク</t>
    </rPh>
    <rPh sb="2" eb="4">
      <t>キソク</t>
    </rPh>
    <rPh sb="4" eb="6">
      <t>テイギ</t>
    </rPh>
    <rPh sb="7" eb="9">
      <t>ナマエ</t>
    </rPh>
    <rPh sb="10" eb="13">
      <t>センタクシ</t>
    </rPh>
    <rPh sb="13" eb="15">
      <t>テイギ</t>
    </rPh>
    <phoneticPr fontId="23"/>
  </si>
  <si>
    <t>名前</t>
    <rPh sb="0" eb="2">
      <t>ナマエ</t>
    </rPh>
    <phoneticPr fontId="23"/>
  </si>
  <si>
    <t>種別</t>
    <rPh sb="0" eb="2">
      <t>シュベツ</t>
    </rPh>
    <phoneticPr fontId="23"/>
  </si>
  <si>
    <t>(品質会計)</t>
    <rPh sb="1" eb="3">
      <t>ヒンシツ</t>
    </rPh>
    <rPh sb="3" eb="5">
      <t>カイケイ</t>
    </rPh>
    <phoneticPr fontId="23"/>
  </si>
  <si>
    <t>工程</t>
    <rPh sb="0" eb="2">
      <t>コウテイ</t>
    </rPh>
    <phoneticPr fontId="23"/>
  </si>
  <si>
    <t>検出時ｼｽﾃﾑ名</t>
    <rPh sb="0" eb="2">
      <t>ケンシュツ</t>
    </rPh>
    <rPh sb="2" eb="3">
      <t>ジ</t>
    </rPh>
    <rPh sb="7" eb="8">
      <t>メイ</t>
    </rPh>
    <phoneticPr fontId="23"/>
  </si>
  <si>
    <t>検出時機能名</t>
    <rPh sb="0" eb="2">
      <t>ケンシュツ</t>
    </rPh>
    <rPh sb="2" eb="3">
      <t>ジ</t>
    </rPh>
    <rPh sb="3" eb="6">
      <t>キノウメイ</t>
    </rPh>
    <phoneticPr fontId="23"/>
  </si>
  <si>
    <t>バグ区分</t>
    <rPh sb="2" eb="4">
      <t>クブン</t>
    </rPh>
    <phoneticPr fontId="23"/>
  </si>
  <si>
    <t>現象障害区分</t>
    <phoneticPr fontId="23"/>
  </si>
  <si>
    <t>再現性</t>
    <rPh sb="0" eb="3">
      <t>サイゲンセイ</t>
    </rPh>
    <phoneticPr fontId="23"/>
  </si>
  <si>
    <t>回避策</t>
    <rPh sb="0" eb="3">
      <t>カイヒサク</t>
    </rPh>
    <phoneticPr fontId="23"/>
  </si>
  <si>
    <t>影響度</t>
    <rPh sb="0" eb="3">
      <t>エイキョウド</t>
    </rPh>
    <phoneticPr fontId="23"/>
  </si>
  <si>
    <t>原因区分</t>
    <rPh sb="0" eb="2">
      <t>ゲンイン</t>
    </rPh>
    <rPh sb="2" eb="4">
      <t>クブン</t>
    </rPh>
    <phoneticPr fontId="23"/>
  </si>
  <si>
    <t>ステータス</t>
    <phoneticPr fontId="23"/>
  </si>
  <si>
    <t>検出手段</t>
    <rPh sb="0" eb="2">
      <t>ケンシュツ</t>
    </rPh>
    <rPh sb="2" eb="4">
      <t>シュダン</t>
    </rPh>
    <phoneticPr fontId="23"/>
  </si>
  <si>
    <t>重大バグ</t>
    <rPh sb="0" eb="2">
      <t>ジュウダイ</t>
    </rPh>
    <phoneticPr fontId="23"/>
  </si>
  <si>
    <t>担当Ｇ</t>
    <rPh sb="0" eb="2">
      <t>タントウ</t>
    </rPh>
    <phoneticPr fontId="23"/>
  </si>
  <si>
    <t>選択肢</t>
    <rPh sb="0" eb="3">
      <t>センタクシ</t>
    </rPh>
    <phoneticPr fontId="23"/>
  </si>
  <si>
    <r>
      <t>B</t>
    </r>
    <r>
      <rPr>
        <sz val="12"/>
        <rFont val="ＭＳ ゴシック"/>
        <family val="3"/>
        <charset val="128"/>
      </rPr>
      <t>D</t>
    </r>
    <phoneticPr fontId="23"/>
  </si>
  <si>
    <t>基本設計</t>
    <rPh sb="0" eb="2">
      <t>キホン</t>
    </rPh>
    <rPh sb="2" eb="4">
      <t>セッケイ</t>
    </rPh>
    <phoneticPr fontId="23"/>
  </si>
  <si>
    <t>中区分１</t>
    <rPh sb="0" eb="1">
      <t>チュウ</t>
    </rPh>
    <rPh sb="1" eb="3">
      <t>クブン</t>
    </rPh>
    <phoneticPr fontId="23"/>
  </si>
  <si>
    <t>バグ</t>
    <phoneticPr fontId="23"/>
  </si>
  <si>
    <t>表示内容不正</t>
    <rPh sb="0" eb="2">
      <t>ヒョウジ</t>
    </rPh>
    <rPh sb="2" eb="4">
      <t>ナイヨウ</t>
    </rPh>
    <rPh sb="4" eb="6">
      <t>フセイ</t>
    </rPh>
    <phoneticPr fontId="38"/>
  </si>
  <si>
    <t>有</t>
    <rPh sb="0" eb="1">
      <t>ア</t>
    </rPh>
    <phoneticPr fontId="23"/>
  </si>
  <si>
    <t>大</t>
    <rPh sb="0" eb="1">
      <t>ダイ</t>
    </rPh>
    <phoneticPr fontId="23"/>
  </si>
  <si>
    <t>要求仕様書ﾐｽ</t>
    <rPh sb="0" eb="2">
      <t>ヨウキュウ</t>
    </rPh>
    <rPh sb="2" eb="5">
      <t>シヨウショ</t>
    </rPh>
    <phoneticPr fontId="23"/>
  </si>
  <si>
    <t>原因調査中</t>
    <rPh sb="0" eb="2">
      <t>ゲンイン</t>
    </rPh>
    <rPh sb="2" eb="5">
      <t>チョウサチュウ</t>
    </rPh>
    <phoneticPr fontId="38"/>
  </si>
  <si>
    <t>バグ（新規製造部）</t>
    <rPh sb="3" eb="5">
      <t>シンキ</t>
    </rPh>
    <rPh sb="5" eb="7">
      <t>セイゾウ</t>
    </rPh>
    <rPh sb="7" eb="8">
      <t>ブ</t>
    </rPh>
    <phoneticPr fontId="38"/>
  </si>
  <si>
    <t>ﾄﾞｷｭﾒﾝﾄ修正</t>
    <rPh sb="7" eb="9">
      <t>シュウセイ</t>
    </rPh>
    <phoneticPr fontId="23"/>
  </si>
  <si>
    <t>レビュー</t>
    <phoneticPr fontId="23"/>
  </si>
  <si>
    <t>S</t>
    <phoneticPr fontId="23"/>
  </si>
  <si>
    <t>Ａ社</t>
    <rPh sb="1" eb="2">
      <t>シャ</t>
    </rPh>
    <phoneticPr fontId="23"/>
  </si>
  <si>
    <r>
      <t>F</t>
    </r>
    <r>
      <rPr>
        <sz val="12"/>
        <rFont val="ＭＳ ゴシック"/>
        <family val="3"/>
        <charset val="128"/>
      </rPr>
      <t>D</t>
    </r>
    <phoneticPr fontId="23"/>
  </si>
  <si>
    <t>中区分２</t>
    <rPh sb="0" eb="1">
      <t>チュウ</t>
    </rPh>
    <rPh sb="1" eb="3">
      <t>クブン</t>
    </rPh>
    <phoneticPr fontId="23"/>
  </si>
  <si>
    <t>画面動作不正</t>
    <rPh sb="0" eb="2">
      <t>ガメン</t>
    </rPh>
    <rPh sb="2" eb="4">
      <t>ドウサ</t>
    </rPh>
    <rPh sb="4" eb="6">
      <t>フセイ</t>
    </rPh>
    <phoneticPr fontId="38"/>
  </si>
  <si>
    <t>無</t>
    <rPh sb="0" eb="1">
      <t>ナ</t>
    </rPh>
    <phoneticPr fontId="23"/>
  </si>
  <si>
    <t>中</t>
    <rPh sb="0" eb="1">
      <t>チュウ</t>
    </rPh>
    <phoneticPr fontId="23"/>
  </si>
  <si>
    <t>設計漏れ</t>
    <rPh sb="0" eb="2">
      <t>セッケイ</t>
    </rPh>
    <rPh sb="2" eb="3">
      <t>モ</t>
    </rPh>
    <phoneticPr fontId="23"/>
  </si>
  <si>
    <t>仕様調整中</t>
    <rPh sb="0" eb="2">
      <t>シヨウ</t>
    </rPh>
    <rPh sb="2" eb="5">
      <t>チョウセイチュウ</t>
    </rPh>
    <phoneticPr fontId="38"/>
  </si>
  <si>
    <t>バグ（改造部）</t>
    <rPh sb="3" eb="5">
      <t>カイゾウ</t>
    </rPh>
    <rPh sb="5" eb="6">
      <t>ブ</t>
    </rPh>
    <phoneticPr fontId="38"/>
  </si>
  <si>
    <t>ﾌﾟﾛｸﾞﾗﾑ修正</t>
    <rPh sb="7" eb="9">
      <t>シュウセイ</t>
    </rPh>
    <phoneticPr fontId="23"/>
  </si>
  <si>
    <t>テスト</t>
    <phoneticPr fontId="23"/>
  </si>
  <si>
    <t>A</t>
    <phoneticPr fontId="23"/>
  </si>
  <si>
    <t>Ｂ社</t>
    <rPh sb="1" eb="2">
      <t>シャ</t>
    </rPh>
    <phoneticPr fontId="23"/>
  </si>
  <si>
    <t>DD</t>
    <phoneticPr fontId="23"/>
  </si>
  <si>
    <t>詳細設計</t>
    <phoneticPr fontId="23"/>
  </si>
  <si>
    <t>中区分３</t>
    <rPh sb="0" eb="1">
      <t>チュウ</t>
    </rPh>
    <rPh sb="1" eb="3">
      <t>クブン</t>
    </rPh>
    <phoneticPr fontId="23"/>
  </si>
  <si>
    <t>印刷内容不正</t>
    <rPh sb="0" eb="2">
      <t>インサツ</t>
    </rPh>
    <rPh sb="2" eb="4">
      <t>ナイヨウ</t>
    </rPh>
    <rPh sb="4" eb="6">
      <t>フセイ</t>
    </rPh>
    <phoneticPr fontId="38"/>
  </si>
  <si>
    <t>不定</t>
    <rPh sb="0" eb="2">
      <t>フテイ</t>
    </rPh>
    <phoneticPr fontId="23"/>
  </si>
  <si>
    <t>不明</t>
    <rPh sb="0" eb="2">
      <t>フメイ</t>
    </rPh>
    <phoneticPr fontId="23"/>
  </si>
  <si>
    <t>小</t>
    <rPh sb="0" eb="1">
      <t>ショウ</t>
    </rPh>
    <phoneticPr fontId="23"/>
  </si>
  <si>
    <t>設計誤り</t>
    <rPh sb="0" eb="2">
      <t>セッケイ</t>
    </rPh>
    <rPh sb="2" eb="3">
      <t>アヤマ</t>
    </rPh>
    <phoneticPr fontId="23"/>
  </si>
  <si>
    <t>修正方法検討中</t>
    <rPh sb="0" eb="2">
      <t>シュウセイ</t>
    </rPh>
    <rPh sb="2" eb="4">
      <t>ホウホウ</t>
    </rPh>
    <rPh sb="4" eb="6">
      <t>ケントウ</t>
    </rPh>
    <rPh sb="6" eb="7">
      <t>チュウ</t>
    </rPh>
    <phoneticPr fontId="38"/>
  </si>
  <si>
    <t>バグ（既存部）</t>
    <rPh sb="3" eb="5">
      <t>キゾン</t>
    </rPh>
    <rPh sb="5" eb="6">
      <t>ブ</t>
    </rPh>
    <phoneticPr fontId="38"/>
  </si>
  <si>
    <t>ﾌｧｲﾙ/DB修正</t>
    <rPh sb="7" eb="9">
      <t>シュウセイ</t>
    </rPh>
    <phoneticPr fontId="23"/>
  </si>
  <si>
    <t>実運用</t>
    <rPh sb="0" eb="1">
      <t>ジツ</t>
    </rPh>
    <rPh sb="1" eb="3">
      <t>ウンヨウ</t>
    </rPh>
    <phoneticPr fontId="23"/>
  </si>
  <si>
    <t>内部</t>
    <rPh sb="0" eb="2">
      <t>ナイブ</t>
    </rPh>
    <phoneticPr fontId="38"/>
  </si>
  <si>
    <t>B</t>
    <phoneticPr fontId="23"/>
  </si>
  <si>
    <t>Ｃ社</t>
    <rPh sb="1" eb="2">
      <t>シャ</t>
    </rPh>
    <phoneticPr fontId="23"/>
  </si>
  <si>
    <t>CD</t>
    <phoneticPr fontId="23"/>
  </si>
  <si>
    <t>製造</t>
    <phoneticPr fontId="23"/>
  </si>
  <si>
    <t>中区分４</t>
    <rPh sb="0" eb="1">
      <t>チュウ</t>
    </rPh>
    <rPh sb="1" eb="3">
      <t>クブン</t>
    </rPh>
    <phoneticPr fontId="23"/>
  </si>
  <si>
    <t>実行時エラー</t>
    <rPh sb="0" eb="2">
      <t>ジッコウ</t>
    </rPh>
    <rPh sb="2" eb="3">
      <t>ジ</t>
    </rPh>
    <phoneticPr fontId="38"/>
  </si>
  <si>
    <t>製造漏れ</t>
    <rPh sb="0" eb="2">
      <t>セイゾウ</t>
    </rPh>
    <rPh sb="2" eb="3">
      <t>モ</t>
    </rPh>
    <phoneticPr fontId="23"/>
  </si>
  <si>
    <t>修正中</t>
    <rPh sb="0" eb="2">
      <t>シュウセイ</t>
    </rPh>
    <rPh sb="2" eb="3">
      <t>チュウ</t>
    </rPh>
    <phoneticPr fontId="38"/>
  </si>
  <si>
    <t>ﾃﾞｸﾞﾚｰﾄﾞ（新規製造部）</t>
    <rPh sb="9" eb="11">
      <t>シンキ</t>
    </rPh>
    <rPh sb="11" eb="13">
      <t>セイゾウ</t>
    </rPh>
    <rPh sb="13" eb="14">
      <t>ブ</t>
    </rPh>
    <phoneticPr fontId="38"/>
  </si>
  <si>
    <t>環境変更</t>
    <rPh sb="0" eb="2">
      <t>カンキョウ</t>
    </rPh>
    <rPh sb="2" eb="4">
      <t>ヘンコウ</t>
    </rPh>
    <phoneticPr fontId="23"/>
  </si>
  <si>
    <t>その他</t>
    <rPh sb="2" eb="3">
      <t>タ</t>
    </rPh>
    <phoneticPr fontId="23"/>
  </si>
  <si>
    <t>その他</t>
    <rPh sb="2" eb="3">
      <t>タ</t>
    </rPh>
    <phoneticPr fontId="38"/>
  </si>
  <si>
    <t>C</t>
    <phoneticPr fontId="23"/>
  </si>
  <si>
    <t>Ｄ部</t>
    <rPh sb="1" eb="2">
      <t>ブ</t>
    </rPh>
    <phoneticPr fontId="23"/>
  </si>
  <si>
    <r>
      <t>U</t>
    </r>
    <r>
      <rPr>
        <sz val="12"/>
        <rFont val="ＭＳ ゴシック"/>
        <family val="3"/>
        <charset val="128"/>
      </rPr>
      <t>T1</t>
    </r>
    <phoneticPr fontId="23"/>
  </si>
  <si>
    <t>単体ﾃｽﾄ</t>
    <phoneticPr fontId="23"/>
  </si>
  <si>
    <t>中区分５</t>
    <rPh sb="0" eb="1">
      <t>チュウ</t>
    </rPh>
    <rPh sb="1" eb="3">
      <t>クブン</t>
    </rPh>
    <phoneticPr fontId="23"/>
  </si>
  <si>
    <t>その他</t>
    <rPh sb="2" eb="3">
      <t>タ</t>
    </rPh>
    <phoneticPr fontId="5"/>
  </si>
  <si>
    <t>ﾌﾟﾛｸﾞﾗﾑ異常終了</t>
    <rPh sb="7" eb="9">
      <t>イジョウ</t>
    </rPh>
    <rPh sb="9" eb="11">
      <t>シュウリョウ</t>
    </rPh>
    <phoneticPr fontId="38"/>
  </si>
  <si>
    <t>製造ﾛｼﾞｯｸﾐｽ</t>
    <rPh sb="0" eb="2">
      <t>セイゾウ</t>
    </rPh>
    <phoneticPr fontId="23"/>
  </si>
  <si>
    <t>修正確認中</t>
    <rPh sb="0" eb="2">
      <t>シュウセイ</t>
    </rPh>
    <rPh sb="2" eb="4">
      <t>カクニン</t>
    </rPh>
    <rPh sb="4" eb="5">
      <t>チュウ</t>
    </rPh>
    <phoneticPr fontId="38"/>
  </si>
  <si>
    <t>ﾃﾞｸﾞﾚｰﾄﾞ（改造部）</t>
    <rPh sb="9" eb="11">
      <t>カイゾウ</t>
    </rPh>
    <rPh sb="11" eb="12">
      <t>ブ</t>
    </rPh>
    <phoneticPr fontId="38"/>
  </si>
  <si>
    <t>再現待ち</t>
    <rPh sb="0" eb="2">
      <t>サイゲン</t>
    </rPh>
    <rPh sb="2" eb="3">
      <t>マ</t>
    </rPh>
    <phoneticPr fontId="23"/>
  </si>
  <si>
    <t>Ｅ部</t>
    <rPh sb="1" eb="2">
      <t>ブ</t>
    </rPh>
    <phoneticPr fontId="23"/>
  </si>
  <si>
    <r>
      <t>U</t>
    </r>
    <r>
      <rPr>
        <sz val="12"/>
        <rFont val="ＭＳ ゴシック"/>
        <family val="3"/>
        <charset val="128"/>
      </rPr>
      <t>T2</t>
    </r>
    <phoneticPr fontId="23"/>
  </si>
  <si>
    <t>中区分６</t>
    <rPh sb="0" eb="1">
      <t>チュウ</t>
    </rPh>
    <rPh sb="1" eb="3">
      <t>クブン</t>
    </rPh>
    <phoneticPr fontId="23"/>
  </si>
  <si>
    <t>操作続行不能</t>
    <rPh sb="0" eb="2">
      <t>ソウサ</t>
    </rPh>
    <rPh sb="2" eb="4">
      <t>ゾッコウ</t>
    </rPh>
    <rPh sb="4" eb="6">
      <t>フノウ</t>
    </rPh>
    <phoneticPr fontId="38"/>
  </si>
  <si>
    <t>ﾌﾟﾛｸﾞﾗﾑ構造ﾐｽ</t>
    <rPh sb="7" eb="9">
      <t>コウゾウ</t>
    </rPh>
    <phoneticPr fontId="23"/>
  </si>
  <si>
    <t>納期調整中</t>
    <rPh sb="0" eb="2">
      <t>ノウキ</t>
    </rPh>
    <rPh sb="2" eb="5">
      <t>チョウセイチュウ</t>
    </rPh>
    <phoneticPr fontId="38"/>
  </si>
  <si>
    <t>制限事項</t>
    <rPh sb="0" eb="2">
      <t>セイゲン</t>
    </rPh>
    <rPh sb="2" eb="4">
      <t>ジコウ</t>
    </rPh>
    <phoneticPr fontId="23"/>
  </si>
  <si>
    <t>Ｆ部</t>
    <rPh sb="1" eb="2">
      <t>ブ</t>
    </rPh>
    <phoneticPr fontId="23"/>
  </si>
  <si>
    <r>
      <t>I</t>
    </r>
    <r>
      <rPr>
        <sz val="12"/>
        <rFont val="ＭＳ ゴシック"/>
        <family val="3"/>
        <charset val="128"/>
      </rPr>
      <t>T</t>
    </r>
    <phoneticPr fontId="23"/>
  </si>
  <si>
    <t>結合ﾃｽﾄ</t>
    <rPh sb="0" eb="2">
      <t>ケツゴウ</t>
    </rPh>
    <phoneticPr fontId="23"/>
  </si>
  <si>
    <t>中区分７</t>
    <rPh sb="0" eb="1">
      <t>チュウ</t>
    </rPh>
    <rPh sb="1" eb="3">
      <t>クブン</t>
    </rPh>
    <phoneticPr fontId="23"/>
  </si>
  <si>
    <t>通信エラー</t>
    <rPh sb="0" eb="2">
      <t>ツウシン</t>
    </rPh>
    <phoneticPr fontId="38"/>
  </si>
  <si>
    <t>製造ﾃﾞｰﾀ定義ﾐｽ</t>
    <rPh sb="0" eb="2">
      <t>セイゾウ</t>
    </rPh>
    <rPh sb="6" eb="8">
      <t>テイギ</t>
    </rPh>
    <phoneticPr fontId="23"/>
  </si>
  <si>
    <t>回答準備中</t>
    <rPh sb="0" eb="2">
      <t>カイトウ</t>
    </rPh>
    <rPh sb="2" eb="4">
      <t>ジュンビ</t>
    </rPh>
    <rPh sb="4" eb="5">
      <t>チュウ</t>
    </rPh>
    <phoneticPr fontId="23"/>
  </si>
  <si>
    <t>処置無し</t>
    <rPh sb="0" eb="2">
      <t>ショチ</t>
    </rPh>
    <rPh sb="2" eb="3">
      <t>ナ</t>
    </rPh>
    <phoneticPr fontId="23"/>
  </si>
  <si>
    <r>
      <t>S</t>
    </r>
    <r>
      <rPr>
        <sz val="12"/>
        <rFont val="ＭＳ ゴシック"/>
        <family val="3"/>
        <charset val="128"/>
      </rPr>
      <t>T</t>
    </r>
    <phoneticPr fontId="23"/>
  </si>
  <si>
    <t>総合ﾃｽﾄ</t>
    <phoneticPr fontId="23"/>
  </si>
  <si>
    <t>終了せず</t>
    <rPh sb="0" eb="2">
      <t>シュウリョウ</t>
    </rPh>
    <phoneticPr fontId="38"/>
  </si>
  <si>
    <t>リリース準備中</t>
    <rPh sb="4" eb="6">
      <t>ジュンビ</t>
    </rPh>
    <rPh sb="6" eb="7">
      <t>チュウ</t>
    </rPh>
    <phoneticPr fontId="23"/>
  </si>
  <si>
    <r>
      <t>R</t>
    </r>
    <r>
      <rPr>
        <sz val="12"/>
        <rFont val="ＭＳ ゴシック"/>
        <family val="3"/>
        <charset val="128"/>
      </rPr>
      <t>T</t>
    </r>
    <phoneticPr fontId="23"/>
  </si>
  <si>
    <t>運用ﾃｽﾄ</t>
    <rPh sb="0" eb="2">
      <t>ウンヨウ</t>
    </rPh>
    <phoneticPr fontId="23"/>
  </si>
  <si>
    <t>リリース作業中</t>
    <rPh sb="4" eb="7">
      <t>サギョウチュウ</t>
    </rPh>
    <phoneticPr fontId="23"/>
  </si>
  <si>
    <t>ﾌｧｲﾙ/DB異常</t>
    <rPh sb="7" eb="9">
      <t>イジョウ</t>
    </rPh>
    <phoneticPr fontId="38"/>
  </si>
  <si>
    <t>環境設定ﾐｽ</t>
    <rPh sb="0" eb="2">
      <t>カンキョウ</t>
    </rPh>
    <rPh sb="2" eb="4">
      <t>セッテイ</t>
    </rPh>
    <phoneticPr fontId="23"/>
  </si>
  <si>
    <t>回答済終了</t>
    <rPh sb="0" eb="2">
      <t>カイトウ</t>
    </rPh>
    <rPh sb="2" eb="3">
      <t>スミ</t>
    </rPh>
    <rPh sb="3" eb="5">
      <t>シュウリョウ</t>
    </rPh>
    <phoneticPr fontId="38"/>
  </si>
  <si>
    <t>統合ﾐｽ</t>
    <rPh sb="0" eb="2">
      <t>トウゴウ</t>
    </rPh>
    <phoneticPr fontId="23"/>
  </si>
  <si>
    <t>回答済制限事項</t>
    <rPh sb="0" eb="2">
      <t>カイトウ</t>
    </rPh>
    <rPh sb="2" eb="3">
      <t>ズ</t>
    </rPh>
    <rPh sb="3" eb="5">
      <t>セイゲン</t>
    </rPh>
    <rPh sb="5" eb="7">
      <t>ジコウ</t>
    </rPh>
    <phoneticPr fontId="38"/>
  </si>
  <si>
    <t>回答済仕様通り</t>
    <rPh sb="0" eb="2">
      <t>カイトウ</t>
    </rPh>
    <rPh sb="2" eb="3">
      <t>ズ</t>
    </rPh>
    <rPh sb="3" eb="5">
      <t>シヨウ</t>
    </rPh>
    <rPh sb="5" eb="6">
      <t>トオ</t>
    </rPh>
    <phoneticPr fontId="38"/>
  </si>
  <si>
    <t>運用ﾐｽ</t>
    <rPh sb="0" eb="2">
      <t>ウンヨウ</t>
    </rPh>
    <phoneticPr fontId="23"/>
  </si>
  <si>
    <t>回答済再現待ち</t>
    <rPh sb="0" eb="2">
      <t>カイトウ</t>
    </rPh>
    <rPh sb="2" eb="3">
      <t>ズ</t>
    </rPh>
    <rPh sb="3" eb="5">
      <t>サイゲン</t>
    </rPh>
    <rPh sb="5" eb="6">
      <t>マ</t>
    </rPh>
    <phoneticPr fontId="38"/>
  </si>
  <si>
    <t>操作ﾐｽ</t>
    <rPh sb="0" eb="2">
      <t>ソウサ</t>
    </rPh>
    <phoneticPr fontId="23"/>
  </si>
  <si>
    <t>回答済再現せず</t>
    <rPh sb="0" eb="2">
      <t>カイトウ</t>
    </rPh>
    <rPh sb="2" eb="3">
      <t>ズ</t>
    </rPh>
    <rPh sb="3" eb="5">
      <t>サイゲン</t>
    </rPh>
    <phoneticPr fontId="38"/>
  </si>
  <si>
    <t>OS等SW障害</t>
    <rPh sb="2" eb="3">
      <t>トウ</t>
    </rPh>
    <rPh sb="5" eb="7">
      <t>ショウガイ</t>
    </rPh>
    <phoneticPr fontId="23"/>
  </si>
  <si>
    <t>回答済その他</t>
    <rPh sb="0" eb="2">
      <t>カイトウ</t>
    </rPh>
    <rPh sb="2" eb="3">
      <t>ズ</t>
    </rPh>
    <rPh sb="5" eb="6">
      <t>タ</t>
    </rPh>
    <phoneticPr fontId="38"/>
  </si>
  <si>
    <t>HW障害</t>
    <rPh sb="2" eb="4">
      <t>ショウガイ</t>
    </rPh>
    <phoneticPr fontId="23"/>
  </si>
  <si>
    <t>その他対応中</t>
    <rPh sb="2" eb="3">
      <t>タ</t>
    </rPh>
    <rPh sb="3" eb="6">
      <t>タイオウチュウ</t>
    </rPh>
    <phoneticPr fontId="38"/>
  </si>
  <si>
    <t>上流工程数</t>
    <rPh sb="0" eb="2">
      <t>ジョウリュウ</t>
    </rPh>
    <rPh sb="2" eb="4">
      <t>コウテイ</t>
    </rPh>
    <rPh sb="4" eb="5">
      <t>スウ</t>
    </rPh>
    <phoneticPr fontId="23"/>
  </si>
  <si>
    <t>原因不明</t>
    <rPh sb="0" eb="2">
      <t>ゲンイン</t>
    </rPh>
    <rPh sb="2" eb="4">
      <t>フメイ</t>
    </rPh>
    <phoneticPr fontId="23"/>
  </si>
  <si>
    <t>取り消し（削除）</t>
    <rPh sb="0" eb="1">
      <t>ト</t>
    </rPh>
    <rPh sb="2" eb="3">
      <t>ケ</t>
    </rPh>
    <rPh sb="5" eb="7">
      <t>サクジョ</t>
    </rPh>
    <phoneticPr fontId="38"/>
  </si>
  <si>
    <t>仕様通り</t>
    <rPh sb="0" eb="2">
      <t>シヨウ</t>
    </rPh>
    <rPh sb="2" eb="3">
      <t>トオ</t>
    </rPh>
    <phoneticPr fontId="23"/>
  </si>
  <si>
    <t>仕変(ﾕｰｻﾞ)</t>
    <rPh sb="0" eb="2">
      <t>シヘン</t>
    </rPh>
    <phoneticPr fontId="23"/>
  </si>
  <si>
    <t>原因/検出工程</t>
    <rPh sb="0" eb="2">
      <t>ゲンイン</t>
    </rPh>
    <rPh sb="3" eb="5">
      <t>ケンシュツ</t>
    </rPh>
    <rPh sb="5" eb="7">
      <t>コウテイ</t>
    </rPh>
    <phoneticPr fontId="23"/>
  </si>
  <si>
    <t>仕変(内部)</t>
    <rPh sb="0" eb="2">
      <t>シヘン</t>
    </rPh>
    <rPh sb="3" eb="5">
      <t>ナイブ</t>
    </rPh>
    <phoneticPr fontId="23"/>
  </si>
  <si>
    <t>仕様確認</t>
    <rPh sb="0" eb="2">
      <t>シヨウ</t>
    </rPh>
    <rPh sb="2" eb="4">
      <t>カクニン</t>
    </rPh>
    <phoneticPr fontId="23"/>
  </si>
  <si>
    <t>検出工程</t>
    <rPh sb="0" eb="2">
      <t>ケンシュツ</t>
    </rPh>
    <rPh sb="2" eb="4">
      <t>コウテイ</t>
    </rPh>
    <phoneticPr fontId="23"/>
  </si>
  <si>
    <t>改善要望</t>
    <rPh sb="0" eb="2">
      <t>カイゼン</t>
    </rPh>
    <rPh sb="2" eb="4">
      <t>ヨウボウ</t>
    </rPh>
    <phoneticPr fontId="23"/>
  </si>
  <si>
    <t>計画変更</t>
    <rPh sb="0" eb="2">
      <t>ケイカク</t>
    </rPh>
    <rPh sb="2" eb="4">
      <t>ヘンコウ</t>
    </rPh>
    <phoneticPr fontId="23"/>
  </si>
  <si>
    <t>※ 行が足りない場合は行挿入し、必ず上から連続して入力してください。</t>
    <rPh sb="2" eb="3">
      <t>ギョウ</t>
    </rPh>
    <rPh sb="4" eb="5">
      <t>タ</t>
    </rPh>
    <rPh sb="8" eb="10">
      <t>バアイ</t>
    </rPh>
    <rPh sb="11" eb="12">
      <t>ギョウ</t>
    </rPh>
    <rPh sb="12" eb="14">
      <t>ソウニュウ</t>
    </rPh>
    <rPh sb="16" eb="17">
      <t>カナラ</t>
    </rPh>
    <rPh sb="18" eb="19">
      <t>ウエ</t>
    </rPh>
    <rPh sb="21" eb="23">
      <t>レンゾク</t>
    </rPh>
    <rPh sb="25" eb="27">
      <t>ニュウリョク</t>
    </rPh>
    <phoneticPr fontId="23"/>
  </si>
  <si>
    <t>※ 途中で空白のセルがあると、空白セルの直前までしか登録・処理されません。</t>
    <rPh sb="2" eb="4">
      <t>トチュウ</t>
    </rPh>
    <rPh sb="5" eb="7">
      <t>クウハク</t>
    </rPh>
    <rPh sb="15" eb="17">
      <t>クウハク</t>
    </rPh>
    <rPh sb="20" eb="22">
      <t>チョクゼン</t>
    </rPh>
    <rPh sb="26" eb="28">
      <t>トウロク</t>
    </rPh>
    <rPh sb="29" eb="31">
      <t>ショリ</t>
    </rPh>
    <phoneticPr fontId="23"/>
  </si>
  <si>
    <t>AN</t>
    <phoneticPr fontId="23"/>
  </si>
  <si>
    <t>AO</t>
    <phoneticPr fontId="23"/>
  </si>
  <si>
    <t>AP</t>
    <phoneticPr fontId="23"/>
  </si>
  <si>
    <t>AQ</t>
    <phoneticPr fontId="23"/>
  </si>
  <si>
    <t>AR</t>
    <phoneticPr fontId="23"/>
  </si>
  <si>
    <t>AS</t>
    <phoneticPr fontId="23"/>
  </si>
  <si>
    <t>AT</t>
    <phoneticPr fontId="23"/>
  </si>
  <si>
    <t>AU</t>
    <phoneticPr fontId="23"/>
  </si>
  <si>
    <t>AV</t>
    <phoneticPr fontId="23"/>
  </si>
  <si>
    <t>AW</t>
    <phoneticPr fontId="23"/>
  </si>
  <si>
    <t>AX</t>
    <phoneticPr fontId="23"/>
  </si>
  <si>
    <t>AY</t>
    <phoneticPr fontId="23"/>
  </si>
  <si>
    <t>AZ</t>
    <phoneticPr fontId="23"/>
  </si>
  <si>
    <t>BA</t>
    <phoneticPr fontId="23"/>
  </si>
  <si>
    <t>BB</t>
    <phoneticPr fontId="23"/>
  </si>
  <si>
    <t>BC</t>
    <phoneticPr fontId="23"/>
  </si>
  <si>
    <t>BD</t>
    <phoneticPr fontId="23"/>
  </si>
  <si>
    <t>BE</t>
    <phoneticPr fontId="23"/>
  </si>
  <si>
    <t>BF</t>
    <phoneticPr fontId="23"/>
  </si>
  <si>
    <t>BG</t>
    <phoneticPr fontId="23"/>
  </si>
  <si>
    <t>BH</t>
    <phoneticPr fontId="23"/>
  </si>
  <si>
    <t>BI</t>
    <phoneticPr fontId="23"/>
  </si>
  <si>
    <t>BJ</t>
    <phoneticPr fontId="23"/>
  </si>
  <si>
    <t>BK</t>
    <phoneticPr fontId="23"/>
  </si>
  <si>
    <t>BL</t>
    <phoneticPr fontId="23"/>
  </si>
  <si>
    <t>BM</t>
    <phoneticPr fontId="23"/>
  </si>
  <si>
    <t>BN</t>
    <phoneticPr fontId="23"/>
  </si>
  <si>
    <t>BO</t>
    <phoneticPr fontId="23"/>
  </si>
  <si>
    <t>BP</t>
    <phoneticPr fontId="23"/>
  </si>
  <si>
    <t>BQ</t>
    <phoneticPr fontId="23"/>
  </si>
  <si>
    <t>BR</t>
    <phoneticPr fontId="23"/>
  </si>
  <si>
    <t>BS</t>
    <phoneticPr fontId="23"/>
  </si>
  <si>
    <t>BT</t>
    <phoneticPr fontId="23"/>
  </si>
  <si>
    <t>BU</t>
    <phoneticPr fontId="23"/>
  </si>
  <si>
    <t>BV</t>
    <phoneticPr fontId="23"/>
  </si>
  <si>
    <t>BW</t>
    <phoneticPr fontId="23"/>
  </si>
  <si>
    <t>BX</t>
    <phoneticPr fontId="23"/>
  </si>
  <si>
    <t>BY</t>
    <phoneticPr fontId="23"/>
  </si>
  <si>
    <t>BZ</t>
    <phoneticPr fontId="23"/>
  </si>
  <si>
    <t>環境設定２</t>
    <rPh sb="0" eb="2">
      <t>カンキョウ</t>
    </rPh>
    <rPh sb="2" eb="4">
      <t>セッテイ</t>
    </rPh>
    <phoneticPr fontId="23"/>
  </si>
  <si>
    <t>非表示列設定</t>
    <rPh sb="0" eb="1">
      <t>ヒ</t>
    </rPh>
    <rPh sb="2" eb="3">
      <t>ジ</t>
    </rPh>
    <rPh sb="3" eb="4">
      <t>レツ</t>
    </rPh>
    <rPh sb="4" eb="6">
      <t>セッテイ</t>
    </rPh>
    <phoneticPr fontId="23"/>
  </si>
  <si>
    <t>残印刷列設定</t>
    <rPh sb="0" eb="1">
      <t>ザン</t>
    </rPh>
    <rPh sb="1" eb="3">
      <t>インサツ</t>
    </rPh>
    <rPh sb="3" eb="4">
      <t>レツ</t>
    </rPh>
    <rPh sb="4" eb="6">
      <t>セッテイ</t>
    </rPh>
    <phoneticPr fontId="23"/>
  </si>
  <si>
    <t>Ｍｙ印刷列設定</t>
    <rPh sb="2" eb="4">
      <t>インサツ</t>
    </rPh>
    <rPh sb="4" eb="5">
      <t>レツ</t>
    </rPh>
    <rPh sb="5" eb="7">
      <t>セッテイ</t>
    </rPh>
    <phoneticPr fontId="23"/>
  </si>
  <si>
    <t>列記号</t>
    <rPh sb="0" eb="1">
      <t>レツ</t>
    </rPh>
    <rPh sb="1" eb="3">
      <t>キゴウ</t>
    </rPh>
    <phoneticPr fontId="23"/>
  </si>
  <si>
    <t>設定</t>
    <rPh sb="0" eb="2">
      <t>セッテイ</t>
    </rPh>
    <phoneticPr fontId="23"/>
  </si>
  <si>
    <t>タイトル</t>
    <phoneticPr fontId="23"/>
  </si>
  <si>
    <t>A</t>
    <phoneticPr fontId="23"/>
  </si>
  <si>
    <t>B</t>
    <phoneticPr fontId="23"/>
  </si>
  <si>
    <t>D</t>
    <phoneticPr fontId="23"/>
  </si>
  <si>
    <t>G</t>
    <phoneticPr fontId="23"/>
  </si>
  <si>
    <t>I</t>
    <phoneticPr fontId="23"/>
  </si>
  <si>
    <t>E</t>
    <phoneticPr fontId="23"/>
  </si>
  <si>
    <t>AF</t>
    <phoneticPr fontId="23"/>
  </si>
  <si>
    <t>F</t>
    <phoneticPr fontId="23"/>
  </si>
  <si>
    <t>AI</t>
    <phoneticPr fontId="23"/>
  </si>
  <si>
    <t>K</t>
    <phoneticPr fontId="23"/>
  </si>
  <si>
    <t>M</t>
    <phoneticPr fontId="23"/>
  </si>
  <si>
    <t>H</t>
    <phoneticPr fontId="23"/>
  </si>
  <si>
    <t>O</t>
    <phoneticPr fontId="23"/>
  </si>
  <si>
    <t>R</t>
    <phoneticPr fontId="23"/>
  </si>
  <si>
    <t>J</t>
    <phoneticPr fontId="23"/>
  </si>
  <si>
    <t>T</t>
    <phoneticPr fontId="23"/>
  </si>
  <si>
    <t>U</t>
    <phoneticPr fontId="23"/>
  </si>
  <si>
    <t>L</t>
    <phoneticPr fontId="23"/>
  </si>
  <si>
    <t>V</t>
    <phoneticPr fontId="23"/>
  </si>
  <si>
    <t>S</t>
    <phoneticPr fontId="23"/>
  </si>
  <si>
    <t>N</t>
    <phoneticPr fontId="23"/>
  </si>
  <si>
    <t>X</t>
    <phoneticPr fontId="23"/>
  </si>
  <si>
    <t>Y</t>
    <phoneticPr fontId="23"/>
  </si>
  <si>
    <t>P</t>
    <phoneticPr fontId="23"/>
  </si>
  <si>
    <t>Z</t>
    <phoneticPr fontId="23"/>
  </si>
  <si>
    <t>Q</t>
    <phoneticPr fontId="23"/>
  </si>
  <si>
    <t>AJ</t>
    <phoneticPr fontId="23"/>
  </si>
  <si>
    <t>W</t>
    <phoneticPr fontId="23"/>
  </si>
  <si>
    <t>AG</t>
    <phoneticPr fontId="23"/>
  </si>
  <si>
    <t>AL</t>
    <phoneticPr fontId="23"/>
  </si>
  <si>
    <t>AM</t>
    <phoneticPr fontId="23"/>
  </si>
  <si>
    <t>AO</t>
    <phoneticPr fontId="23"/>
  </si>
  <si>
    <t>AP</t>
    <phoneticPr fontId="23"/>
  </si>
  <si>
    <t>AQ</t>
    <phoneticPr fontId="23"/>
  </si>
  <si>
    <t>AR</t>
    <phoneticPr fontId="23"/>
  </si>
  <si>
    <t>AS</t>
    <phoneticPr fontId="23"/>
  </si>
  <si>
    <t>　　×　：非表示</t>
    <rPh sb="5" eb="8">
      <t>ヒヒョウジ</t>
    </rPh>
    <phoneticPr fontId="23"/>
  </si>
  <si>
    <t>　　○　：残印刷で印刷する</t>
    <rPh sb="5" eb="6">
      <t>ザン</t>
    </rPh>
    <rPh sb="6" eb="8">
      <t>インサツ</t>
    </rPh>
    <rPh sb="9" eb="11">
      <t>インサツ</t>
    </rPh>
    <phoneticPr fontId="23"/>
  </si>
  <si>
    <t>　　○　：Ｍｙ印刷で印刷する</t>
    <rPh sb="7" eb="9">
      <t>インサツ</t>
    </rPh>
    <rPh sb="10" eb="12">
      <t>インサツ</t>
    </rPh>
    <phoneticPr fontId="23"/>
  </si>
  <si>
    <t>　(空白)：表示する</t>
    <rPh sb="2" eb="4">
      <t>クウハク</t>
    </rPh>
    <rPh sb="6" eb="8">
      <t>ヒョウジ</t>
    </rPh>
    <phoneticPr fontId="23"/>
  </si>
  <si>
    <t>　(空白)：印刷しない</t>
    <rPh sb="2" eb="4">
      <t>クウハク</t>
    </rPh>
    <rPh sb="6" eb="8">
      <t>インサツ</t>
    </rPh>
    <phoneticPr fontId="23"/>
  </si>
  <si>
    <t>実績データ収集</t>
    <rPh sb="0" eb="2">
      <t>ジッセキ</t>
    </rPh>
    <rPh sb="5" eb="7">
      <t>シュウシュウ</t>
    </rPh>
    <phoneticPr fontId="23"/>
  </si>
  <si>
    <t>収集日</t>
    <rPh sb="0" eb="3">
      <t>シュウシュウビ</t>
    </rPh>
    <phoneticPr fontId="23"/>
  </si>
  <si>
    <t>登録日</t>
    <rPh sb="0" eb="2">
      <t>トウロク</t>
    </rPh>
    <rPh sb="2" eb="3">
      <t>ビ</t>
    </rPh>
    <phoneticPr fontId="23"/>
  </si>
  <si>
    <t>フェーズ別バグ情報</t>
    <rPh sb="7" eb="9">
      <t>ジョウホウ</t>
    </rPh>
    <phoneticPr fontId="23"/>
  </si>
  <si>
    <t>作り込みフェーズ別バグ数</t>
    <phoneticPr fontId="23"/>
  </si>
  <si>
    <t>工程（SN01）</t>
    <rPh sb="0" eb="2">
      <t>コウテイ</t>
    </rPh>
    <phoneticPr fontId="23"/>
  </si>
  <si>
    <t>品質会計</t>
    <rPh sb="0" eb="2">
      <t>ヒンシツ</t>
    </rPh>
    <rPh sb="2" eb="4">
      <t>カイケイ</t>
    </rPh>
    <phoneticPr fontId="23"/>
  </si>
  <si>
    <t>PJ管理基盤</t>
    <rPh sb="2" eb="4">
      <t>カンリ</t>
    </rPh>
    <rPh sb="4" eb="6">
      <t>キバン</t>
    </rPh>
    <phoneticPr fontId="23"/>
  </si>
  <si>
    <t>未分類</t>
    <rPh sb="0" eb="3">
      <t>ミブンルイ</t>
    </rPh>
    <phoneticPr fontId="23"/>
  </si>
  <si>
    <t>FD</t>
    <phoneticPr fontId="23"/>
  </si>
  <si>
    <t>CD</t>
    <phoneticPr fontId="23"/>
  </si>
  <si>
    <t>PJ管理基盤接続情報</t>
  </si>
  <si>
    <t>プロジェクトUID</t>
  </si>
  <si>
    <t>認証ID</t>
  </si>
  <si>
    <t>https://ipmsweb10-eval.swf.nec.co.jp/pjmp/</t>
    <phoneticPr fontId="23"/>
  </si>
  <si>
    <t>接続先URL</t>
    <phoneticPr fontId="23"/>
  </si>
  <si>
    <t>マスタ</t>
    <phoneticPr fontId="23"/>
  </si>
  <si>
    <t>発注</t>
    <rPh sb="0" eb="2">
      <t>ハッチュウ</t>
    </rPh>
    <phoneticPr fontId="23"/>
  </si>
  <si>
    <t>プライスPOP</t>
    <phoneticPr fontId="23"/>
  </si>
  <si>
    <t>仕入</t>
    <rPh sb="0" eb="2">
      <t>シイ</t>
    </rPh>
    <phoneticPr fontId="23"/>
  </si>
  <si>
    <t>買掛</t>
    <rPh sb="0" eb="2">
      <t>カイカケ</t>
    </rPh>
    <phoneticPr fontId="23"/>
  </si>
  <si>
    <t>移行ツール</t>
    <rPh sb="0" eb="2">
      <t>イコウ</t>
    </rPh>
    <phoneticPr fontId="23"/>
  </si>
  <si>
    <t>1</t>
    <phoneticPr fontId="23"/>
  </si>
  <si>
    <t>2</t>
    <phoneticPr fontId="23"/>
  </si>
  <si>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</si>
  <si>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</si>
  <si>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</si>
  <si>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</si>
  <si>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</si>
  <si>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</si>
  <si>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</si>
  <si>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</si>
  <si>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</si>
  <si>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</si>
  <si>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</si>
  <si>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</si>
  <si>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</si>
  <si>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</si>
  <si>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</si>
  <si>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</si>
  <si>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</si>
  <si>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</si>
  <si>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</si>
  <si>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</si>
  <si>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</si>
  <si>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</si>
  <si>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</si>
  <si>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</si>
  <si>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</si>
  <si>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</si>
  <si>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</si>
  <si>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phoneticPr fontId="23"/>
  </si>
  <si>
    <t>31</t>
    <phoneticPr fontId="23"/>
  </si>
  <si>
    <t>32</t>
    <phoneticPr fontId="23"/>
  </si>
  <si>
    <t>33</t>
    <phoneticPr fontId="23"/>
  </si>
  <si>
    <t>34</t>
    <phoneticPr fontId="23"/>
  </si>
  <si>
    <t>35</t>
    <phoneticPr fontId="23"/>
  </si>
  <si>
    <t>36</t>
    <phoneticPr fontId="23"/>
  </si>
  <si>
    <t>37</t>
    <phoneticPr fontId="23"/>
  </si>
  <si>
    <t>棚割</t>
    <rPh sb="0" eb="1">
      <t>タナ</t>
    </rPh>
    <rPh sb="1" eb="2">
      <t>ワリ</t>
    </rPh>
    <phoneticPr fontId="23"/>
  </si>
  <si>
    <t>テスト</t>
  </si>
  <si>
    <t>バグ</t>
  </si>
  <si>
    <t>EOD060</t>
    <phoneticPr fontId="23"/>
  </si>
  <si>
    <t>張</t>
    <rPh sb="0" eb="1">
      <t>チョウ</t>
    </rPh>
    <phoneticPr fontId="23"/>
  </si>
  <si>
    <t>魯</t>
    <rPh sb="0" eb="1">
      <t>ロ</t>
    </rPh>
    <phoneticPr fontId="23"/>
  </si>
  <si>
    <r>
      <t>Grid中，当文字列超</t>
    </r>
    <r>
      <rPr>
        <sz val="12"/>
        <rFont val="FangSong"/>
        <family val="3"/>
        <charset val="134"/>
      </rPr>
      <t>长时，未显示</t>
    </r>
    <r>
      <rPr>
        <sz val="12"/>
        <rFont val="ＭＳ ゴシック"/>
        <family val="3"/>
        <charset val="128"/>
      </rPr>
      <t>･･･</t>
    </r>
    <phoneticPr fontId="23"/>
  </si>
  <si>
    <r>
      <t>基</t>
    </r>
    <r>
      <rPr>
        <sz val="11"/>
        <color indexed="8"/>
        <rFont val="FangSong"/>
        <family val="3"/>
        <charset val="134"/>
      </rPr>
      <t>盘</t>
    </r>
    <r>
      <rPr>
        <sz val="11"/>
        <color indexed="8"/>
        <rFont val="ＭＳ Ｐゴシック"/>
        <family val="3"/>
        <charset val="128"/>
      </rPr>
      <t>bug</t>
    </r>
    <phoneticPr fontId="23"/>
  </si>
  <si>
    <r>
      <t>EOD060070画面大小</t>
    </r>
    <r>
      <rPr>
        <sz val="12"/>
        <rFont val="FangSong"/>
        <family val="3"/>
        <charset val="134"/>
      </rPr>
      <t>样式不正确</t>
    </r>
    <phoneticPr fontId="23"/>
  </si>
  <si>
    <t>韓</t>
    <phoneticPr fontId="23"/>
  </si>
  <si>
    <t>沈</t>
    <rPh sb="0" eb="1">
      <t>チン</t>
    </rPh>
    <phoneticPr fontId="23"/>
  </si>
  <si>
    <t>蔡</t>
    <phoneticPr fontId="23"/>
  </si>
  <si>
    <r>
      <t>前画面参数FW_WIDE_CSS</t>
    </r>
    <r>
      <rPr>
        <sz val="11"/>
        <color indexed="8"/>
        <rFont val="FangSong"/>
        <family val="3"/>
        <charset val="134"/>
      </rPr>
      <t>设置不正确</t>
    </r>
    <phoneticPr fontId="23"/>
  </si>
  <si>
    <r>
      <t>FW_WIDE_CSS</t>
    </r>
    <r>
      <rPr>
        <sz val="12"/>
        <rFont val="FangSong"/>
        <family val="3"/>
        <charset val="134"/>
      </rPr>
      <t>设置成</t>
    </r>
    <r>
      <rPr>
        <sz val="12"/>
        <rFont val="ＭＳ ゴシック"/>
        <family val="3"/>
        <charset val="128"/>
      </rPr>
      <t>wide-L</t>
    </r>
    <phoneticPr fontId="23"/>
  </si>
  <si>
    <r>
      <t>E</t>
    </r>
    <r>
      <rPr>
        <sz val="12"/>
        <rFont val="ＭＳ ゴシック"/>
        <family val="3"/>
        <charset val="128"/>
      </rPr>
      <t>OD060070画面初期表示</t>
    </r>
    <r>
      <rPr>
        <sz val="12"/>
        <rFont val="FangSong"/>
        <family val="3"/>
        <charset val="134"/>
      </rPr>
      <t>时，</t>
    </r>
    <r>
      <rPr>
        <sz val="12"/>
        <rFont val="ＭＳ ゴシック"/>
        <family val="3"/>
        <charset val="128"/>
      </rPr>
      <t>focus</t>
    </r>
    <r>
      <rPr>
        <sz val="12"/>
        <rFont val="FangSong"/>
        <family val="3"/>
        <charset val="134"/>
      </rPr>
      <t>设置不正确</t>
    </r>
    <phoneticPr fontId="23"/>
  </si>
  <si>
    <t>EOD060</t>
    <phoneticPr fontId="23"/>
  </si>
  <si>
    <r>
      <t>Grid的SelectionMode</t>
    </r>
    <r>
      <rPr>
        <sz val="11"/>
        <color indexed="8"/>
        <rFont val="FangSong"/>
        <family val="3"/>
        <charset val="134"/>
      </rPr>
      <t>设置不正确</t>
    </r>
    <phoneticPr fontId="23"/>
  </si>
  <si>
    <r>
      <t>SelectionMode</t>
    </r>
    <r>
      <rPr>
        <sz val="12"/>
        <rFont val="FangSong"/>
        <family val="3"/>
        <charset val="134"/>
      </rPr>
      <t>设置成</t>
    </r>
    <r>
      <rPr>
        <sz val="12"/>
        <rFont val="ＭＳ ゴシック"/>
        <family val="3"/>
        <charset val="128"/>
      </rPr>
      <t>Row</t>
    </r>
    <phoneticPr fontId="23"/>
  </si>
  <si>
    <r>
      <t>EOD060040由于指示番号共通控件未提供，</t>
    </r>
    <r>
      <rPr>
        <sz val="12"/>
        <rFont val="FangSong"/>
        <family val="3"/>
        <charset val="134"/>
      </rPr>
      <t>导致检索条件部高度与现行不一致</t>
    </r>
    <phoneticPr fontId="23"/>
  </si>
  <si>
    <t>蔡</t>
    <phoneticPr fontId="23"/>
  </si>
  <si>
    <r>
      <t>Grid中商品M売価列</t>
    </r>
    <r>
      <rPr>
        <sz val="12"/>
        <rFont val="FangSong"/>
        <family val="3"/>
        <charset val="134"/>
      </rPr>
      <t>显</t>
    </r>
    <r>
      <rPr>
        <sz val="12"/>
        <rFont val="ＭＳ ゴシック"/>
        <family val="3"/>
        <charset val="128"/>
      </rPr>
      <t>示与</t>
    </r>
    <r>
      <rPr>
        <sz val="12"/>
        <rFont val="FangSong"/>
        <family val="3"/>
        <charset val="134"/>
      </rPr>
      <t>现</t>
    </r>
    <r>
      <rPr>
        <sz val="12"/>
        <rFont val="ＭＳ ゴシック"/>
        <family val="3"/>
        <charset val="128"/>
      </rPr>
      <t>行不一致，四舍五入</t>
    </r>
    <r>
      <rPr>
        <sz val="12"/>
        <rFont val="FangSong"/>
        <family val="3"/>
        <charset val="134"/>
      </rPr>
      <t>处</t>
    </r>
    <r>
      <rPr>
        <sz val="12"/>
        <rFont val="ＭＳ ゴシック"/>
        <family val="3"/>
        <charset val="128"/>
      </rPr>
      <t>理有</t>
    </r>
    <r>
      <rPr>
        <sz val="12"/>
        <rFont val="FangSong"/>
        <family val="3"/>
        <charset val="134"/>
      </rPr>
      <t>问题</t>
    </r>
    <phoneticPr fontId="23"/>
  </si>
  <si>
    <t>郁</t>
    <phoneticPr fontId="23"/>
  </si>
  <si>
    <t>楊</t>
    <rPh sb="0" eb="1">
      <t>ヨウ</t>
    </rPh>
    <phoneticPr fontId="23"/>
  </si>
  <si>
    <t>Grid外加个div,class="table-wrapper record-height-8bar"</t>
    <phoneticPr fontId="23"/>
  </si>
  <si>
    <t>Grid外加div,class="table-wrapper record-height-8bar"</t>
    <phoneticPr fontId="23"/>
  </si>
  <si>
    <r>
      <t>EOD060100画面Grid高度</t>
    </r>
    <r>
      <rPr>
        <sz val="12"/>
        <rFont val="FangSong"/>
        <family val="3"/>
        <charset val="134"/>
      </rPr>
      <t>设置不正确</t>
    </r>
    <phoneticPr fontId="23"/>
  </si>
  <si>
    <r>
      <t>EOD060110画面chart高度</t>
    </r>
    <r>
      <rPr>
        <sz val="12"/>
        <rFont val="FangSong"/>
        <family val="3"/>
        <charset val="134"/>
      </rPr>
      <t>设</t>
    </r>
    <r>
      <rPr>
        <sz val="12"/>
        <rFont val="ＭＳ ゴシック"/>
        <family val="3"/>
        <charset val="128"/>
      </rPr>
      <t>置不正确</t>
    </r>
    <phoneticPr fontId="23"/>
  </si>
  <si>
    <t>葛</t>
    <phoneticPr fontId="23"/>
  </si>
  <si>
    <r>
      <t>chart高度</t>
    </r>
    <r>
      <rPr>
        <sz val="11"/>
        <color indexed="8"/>
        <rFont val="FangSong"/>
        <family val="3"/>
        <charset val="134"/>
      </rPr>
      <t>设成200</t>
    </r>
    <phoneticPr fontId="23"/>
  </si>
  <si>
    <r>
      <t>chart高度</t>
    </r>
    <r>
      <rPr>
        <sz val="12"/>
        <rFont val="FangSong"/>
        <family val="3"/>
        <charset val="134"/>
      </rPr>
      <t>调成100</t>
    </r>
    <phoneticPr fontId="23"/>
  </si>
  <si>
    <t>沈</t>
    <phoneticPr fontId="23"/>
  </si>
  <si>
    <t>共通控件未提供</t>
    <phoneticPr fontId="23"/>
  </si>
  <si>
    <r>
      <t>共通控件已提供，已</t>
    </r>
    <r>
      <rPr>
        <sz val="12"/>
        <rFont val="FangSong"/>
        <family val="3"/>
        <charset val="134"/>
      </rPr>
      <t>对应</t>
    </r>
    <phoneticPr fontId="23"/>
  </si>
  <si>
    <t>更新nec-ng-fw-1.0.20190822.tgz</t>
    <phoneticPr fontId="23"/>
  </si>
  <si>
    <r>
      <t>EOD060020画面，Grid</t>
    </r>
    <r>
      <rPr>
        <sz val="12"/>
        <rFont val="FangSong"/>
        <family val="3"/>
        <charset val="134"/>
      </rPr>
      <t>编辑部可输入7位数字，现行只能输入6位</t>
    </r>
    <phoneticPr fontId="23"/>
  </si>
  <si>
    <t>EOD060</t>
    <phoneticPr fontId="23"/>
  </si>
  <si>
    <t>張</t>
    <rPh sb="0" eb="1">
      <t>チョウ</t>
    </rPh>
    <phoneticPr fontId="23"/>
  </si>
  <si>
    <t>maxlength=7,VB代码中也是7，但是只能输入6位</t>
    <phoneticPr fontId="23"/>
  </si>
  <si>
    <t>maxlength=6</t>
    <phoneticPr fontId="23"/>
  </si>
  <si>
    <r>
      <t>EOD060020画面，MM列的内容按</t>
    </r>
    <r>
      <rPr>
        <sz val="12"/>
        <rFont val="FangSong"/>
        <family val="3"/>
        <charset val="134"/>
      </rPr>
      <t>钮，现行非表示，次期表示了</t>
    </r>
    <phoneticPr fontId="23"/>
  </si>
  <si>
    <t>EOD060</t>
    <phoneticPr fontId="23"/>
  </si>
  <si>
    <t>韓</t>
    <phoneticPr fontId="23"/>
  </si>
  <si>
    <t>searchResult.SetVisible(4, searchResult.MmEntryTypeFlg, 0);</t>
    <phoneticPr fontId="23"/>
  </si>
  <si>
    <r>
      <t>EOD060020画面，点</t>
    </r>
    <r>
      <rPr>
        <sz val="12"/>
        <rFont val="FangSong"/>
        <family val="3"/>
        <charset val="134"/>
      </rPr>
      <t>击检索后，光标未设到</t>
    </r>
    <r>
      <rPr>
        <sz val="12"/>
        <rFont val="ＭＳ ゴシック"/>
        <family val="3"/>
        <charset val="128"/>
      </rPr>
      <t>Grid第一个可</t>
    </r>
    <r>
      <rPr>
        <sz val="12"/>
        <rFont val="FangSong"/>
        <family val="3"/>
        <charset val="134"/>
      </rPr>
      <t>编辑项</t>
    </r>
    <phoneticPr fontId="23"/>
  </si>
  <si>
    <t>ts中未绑定Visible属性</t>
    <phoneticPr fontId="23"/>
  </si>
  <si>
    <r>
      <t>EOD060020画面，[Ａ１：０５２２号食品　中部]</t>
    </r>
    <r>
      <rPr>
        <sz val="12"/>
        <rFont val="FangSong"/>
        <family val="3"/>
        <charset val="134"/>
      </rPr>
      <t>显示不正，应该居左，不是居右</t>
    </r>
    <phoneticPr fontId="23"/>
  </si>
  <si>
    <t>样式跟提供的html不一样</t>
    <phoneticPr fontId="23"/>
  </si>
  <si>
    <r>
      <rPr>
        <sz val="12"/>
        <rFont val="FangSong"/>
        <family val="3"/>
        <charset val="134"/>
      </rPr>
      <t>该</t>
    </r>
    <r>
      <rPr>
        <sz val="12"/>
        <rFont val="Malgun Gothic Semilight"/>
        <family val="3"/>
        <charset val="129"/>
      </rPr>
      <t>值</t>
    </r>
    <r>
      <rPr>
        <sz val="12"/>
        <rFont val="ＭＳ ゴシック"/>
        <family val="3"/>
        <charset val="128"/>
      </rPr>
      <t>是4个字段拼接的</t>
    </r>
    <r>
      <rPr>
        <sz val="12"/>
        <rFont val="Malgun Gothic Semilight"/>
        <family val="3"/>
        <charset val="129"/>
      </rPr>
      <t>值，在ts中拼接好在赋给text</t>
    </r>
    <phoneticPr fontId="23"/>
  </si>
  <si>
    <t>EOD020</t>
    <phoneticPr fontId="23"/>
  </si>
  <si>
    <r>
      <t>初期化</t>
    </r>
    <r>
      <rPr>
        <sz val="11"/>
        <color indexed="8"/>
        <rFont val="FangSong"/>
        <family val="3"/>
        <charset val="134"/>
      </rPr>
      <t>时代码遗漏</t>
    </r>
    <phoneticPr fontId="23"/>
  </si>
  <si>
    <r>
      <t>初期化</t>
    </r>
    <r>
      <rPr>
        <sz val="12"/>
        <rFont val="FangSong"/>
        <family val="3"/>
        <charset val="134"/>
      </rPr>
      <t>处理中添加日期赋值代码</t>
    </r>
    <phoneticPr fontId="23"/>
  </si>
  <si>
    <r>
      <t>分</t>
    </r>
    <r>
      <rPr>
        <sz val="11"/>
        <color indexed="8"/>
        <rFont val="FangSong"/>
        <family val="3"/>
        <charset val="134"/>
      </rPr>
      <t>页控件实装不正确</t>
    </r>
    <phoneticPr fontId="23"/>
  </si>
  <si>
    <t>NXDataPager加属性[ItemsSource]="form.Ptn00DataCollection"</t>
    <phoneticPr fontId="23"/>
  </si>
  <si>
    <r>
      <t>EOD020010画面,分</t>
    </r>
    <r>
      <rPr>
        <sz val="12"/>
        <rFont val="FangSong"/>
        <family val="3"/>
        <charset val="134"/>
      </rPr>
      <t>页显示不正确</t>
    </r>
    <phoneticPr fontId="23"/>
  </si>
  <si>
    <t>虽然设置了focus,但由于机制不一样，执行顺序跟VB不一样</t>
    <phoneticPr fontId="23"/>
  </si>
  <si>
    <t>调用focus的地方加一个timeout</t>
    <phoneticPr fontId="23"/>
  </si>
  <si>
    <r>
      <rPr>
        <sz val="11"/>
        <color indexed="8"/>
        <rFont val="FangSong"/>
        <family val="3"/>
        <charset val="134"/>
      </rPr>
      <t>调</t>
    </r>
    <r>
      <rPr>
        <sz val="11"/>
        <color indexed="8"/>
        <rFont val="ＭＳ Ｐゴシック"/>
        <family val="3"/>
        <charset val="128"/>
      </rPr>
      <t>用focus的地方加一个timeout</t>
    </r>
    <phoneticPr fontId="23"/>
  </si>
  <si>
    <r>
      <t>EOD020010画面,初期化日期未</t>
    </r>
    <r>
      <rPr>
        <sz val="12"/>
        <rFont val="FangSong"/>
        <family val="3"/>
        <charset val="134"/>
      </rPr>
      <t>赋值</t>
    </r>
    <phoneticPr fontId="23"/>
  </si>
  <si>
    <t>EOD020010画面,初期Focus不正</t>
    <phoneticPr fontId="23"/>
  </si>
  <si>
    <t>EOD020020画面,发注日开始日大于结束日的场合未能正确check</t>
    <phoneticPr fontId="23"/>
  </si>
  <si>
    <t>日期格式设置的不一样</t>
    <phoneticPr fontId="23"/>
  </si>
  <si>
    <t>this.form.SearchCondition.OrderDateFrom = FWDateutils.convertToString(this.contextAppDate, 'yyyy/MM/dd(ddd)');</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</si>
</sst>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yy/mm/dd"/>
    <numFmt numFmtId="177" formatCode="d&quot;日&quot;"/>
    <numFmt numFmtId="178" formatCode="aaa"/>
    <numFmt numFmtId="179" formatCode="#,##0.0_);[Red]\(#,##0.0\)"/>
    <numFmt numFmtId="180" formatCode="#,##0_ ;[Red]\-#,##0\ "/>
    <numFmt numFmtId="181" formatCode="yyyy/mm/dd;@"/>
    <numFmt numFmtId="182" formatCode="yyyy/m/d;@"/>
  </numFmts>
  <fonts count="56">
    <font>
      <sz val="12"/>
      <name val="ＭＳ ゴシック"/>
      <family val="3"/>
      <charset val="128"/>
    </font>
    <font>
      <b/>
      <sz val="12"/>
      <name val="ＭＳ ゴシック"/>
      <family val="3"/>
      <charset val="128"/>
    </font>
    <font>
      <sz val="11"/>
      <color indexed="8"/>
      <name val="ＭＳ Ｐゴシック"/>
      <family val="3"/>
      <charset val="128"/>
    </font>
    <font>
      <sz val="11"/>
      <color indexed="9"/>
      <name val="ＭＳ Ｐゴシック"/>
      <family val="3"/>
      <charset val="128"/>
    </font>
    <font>
      <sz val="9"/>
      <color indexed="27"/>
      <name val="明朝"/>
      <family val="1"/>
      <charset val="128"/>
    </font>
    <font>
      <sz val="10"/>
      <name val="Arial"/>
      <family val="2"/>
    </font>
    <font>
      <sz val="10"/>
      <color indexed="24"/>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2"/>
      <name val="ＭＳ 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6"/>
      <name val="ＭＳ ゴシック"/>
      <family val="3"/>
      <charset val="128"/>
    </font>
    <font>
      <sz val="12"/>
      <color indexed="9"/>
      <name val="ＭＳ ゴシック"/>
      <family val="3"/>
      <charset val="128"/>
    </font>
    <font>
      <b/>
      <sz val="14"/>
      <color indexed="12"/>
      <name val="ＭＳ ゴシック"/>
      <family val="3"/>
      <charset val="128"/>
    </font>
    <font>
      <sz val="6"/>
      <name val="ＭＳ Ｐゴシック"/>
      <family val="3"/>
      <charset val="128"/>
    </font>
    <font>
      <i/>
      <sz val="12"/>
      <color indexed="10"/>
      <name val="ＭＳ ゴシック"/>
      <family val="3"/>
      <charset val="128"/>
    </font>
    <font>
      <sz val="10"/>
      <color indexed="10"/>
      <name val="ＭＳ ゴシック"/>
      <family val="3"/>
      <charset val="128"/>
    </font>
    <font>
      <sz val="10"/>
      <color indexed="22"/>
      <name val="ＭＳ ゴシック"/>
      <family val="3"/>
      <charset val="128"/>
    </font>
    <font>
      <sz val="10"/>
      <name val="ＭＳ ゴシック"/>
      <family val="3"/>
      <charset val="128"/>
    </font>
    <font>
      <b/>
      <sz val="12"/>
      <name val="ＭＳ Ｐゴシック"/>
      <family val="3"/>
      <charset val="128"/>
    </font>
    <font>
      <b/>
      <sz val="11"/>
      <name val="ＭＳ Ｐゴシック"/>
      <family val="3"/>
      <charset val="128"/>
    </font>
    <font>
      <sz val="12"/>
      <name val="ＭＳ Ｐゴシック"/>
      <family val="3"/>
      <charset val="128"/>
    </font>
    <font>
      <sz val="12"/>
      <color indexed="8"/>
      <name val="ＭＳ ゴシック"/>
      <family val="3"/>
      <charset val="128"/>
    </font>
    <font>
      <sz val="11"/>
      <name val="ＭＳ ゴシック"/>
      <family val="3"/>
      <charset val="128"/>
    </font>
    <font>
      <b/>
      <sz val="14"/>
      <name val="ＭＳ ゴシック"/>
      <family val="3"/>
      <charset val="128"/>
    </font>
    <font>
      <sz val="9"/>
      <name val="ＭＳ ゴシック"/>
      <family val="3"/>
      <charset val="128"/>
    </font>
    <font>
      <sz val="11"/>
      <color indexed="81"/>
      <name val="ＭＳ Ｐゴシック"/>
      <family val="3"/>
      <charset val="128"/>
    </font>
    <font>
      <b/>
      <sz val="12"/>
      <color indexed="10"/>
      <name val="ＭＳ ゴシック"/>
      <family val="3"/>
      <charset val="128"/>
    </font>
    <font>
      <sz val="9"/>
      <color indexed="81"/>
      <name val="ＭＳ Ｐゴシック"/>
      <family val="3"/>
      <charset val="128"/>
    </font>
    <font>
      <b/>
      <sz val="12"/>
      <color indexed="81"/>
      <name val="ＭＳ Ｐゴシック"/>
      <family val="3"/>
      <charset val="128"/>
    </font>
    <font>
      <b/>
      <sz val="11"/>
      <color indexed="81"/>
      <name val="ＭＳ Ｐゴシック"/>
      <family val="3"/>
      <charset val="128"/>
    </font>
    <font>
      <b/>
      <sz val="11"/>
      <color rgb="FF000000"/>
      <name val="ＭＳ Ｐゴシック"/>
      <family val="3"/>
      <charset val="128"/>
    </font>
    <font>
      <b/>
      <sz val="11"/>
      <color rgb="FF0000FF"/>
      <name val="ＭＳ Ｐゴシック"/>
      <family val="3"/>
      <charset val="128"/>
    </font>
    <font>
      <b/>
      <sz val="11"/>
      <color rgb="FF800000"/>
      <name val="ＭＳ Ｐゴシック"/>
      <family val="3"/>
      <charset val="128"/>
    </font>
    <font>
      <b/>
      <sz val="11"/>
      <color rgb="FF993366"/>
      <name val="ＭＳ ゴシック"/>
      <family val="3"/>
      <charset val="128"/>
    </font>
    <font>
      <b/>
      <sz val="11"/>
      <color rgb="FF000080"/>
      <name val="ＭＳ ゴシック"/>
      <family val="3"/>
      <charset val="128"/>
    </font>
    <font>
      <sz val="11"/>
      <name val="ＭＳ Ｐゴシック"/>
      <family val="3"/>
      <charset val="128"/>
      <scheme val="minor"/>
    </font>
    <font>
      <sz val="12"/>
      <color rgb="FF000000"/>
      <name val="ＭＳ ゴシック"/>
      <family val="3"/>
      <charset val="128"/>
    </font>
    <font>
      <sz val="11"/>
      <color rgb="FF000000"/>
      <name val="ＭＳ Ｐゴシック"/>
      <family val="3"/>
      <charset val="128"/>
      <scheme val="minor"/>
    </font>
    <font>
      <sz val="12"/>
      <name val="NSimSun"/>
      <family val="3"/>
      <charset val="134"/>
    </font>
    <font>
      <sz val="11"/>
      <color indexed="8"/>
      <name val="NSimSun"/>
      <family val="3"/>
      <charset val="134"/>
    </font>
    <font>
      <sz val="12"/>
      <name val="FangSong"/>
      <family val="3"/>
      <charset val="134"/>
    </font>
    <font>
      <sz val="11"/>
      <color indexed="8"/>
      <name val="FangSong"/>
      <family val="3"/>
      <charset val="134"/>
    </font>
    <font>
      <sz val="12"/>
      <name val="Malgun Gothic Semilight"/>
      <family val="3"/>
      <charset val="129"/>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8"/>
        <bgColor indexed="37"/>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0"/>
        <bgColor indexed="64"/>
      </patternFill>
    </fill>
    <fill>
      <patternFill patternType="solid">
        <fgColor indexed="44"/>
        <bgColor indexed="64"/>
      </patternFill>
    </fill>
    <fill>
      <patternFill patternType="solid">
        <fgColor indexed="29"/>
        <bgColor indexed="64"/>
      </patternFill>
    </fill>
    <fill>
      <patternFill patternType="solid">
        <fgColor indexed="42"/>
        <bgColor indexed="64"/>
      </patternFill>
    </fill>
    <fill>
      <patternFill patternType="solid">
        <fgColor indexed="46"/>
        <bgColor indexed="64"/>
      </patternFill>
    </fill>
    <fill>
      <patternFill patternType="solid">
        <fgColor indexed="26"/>
        <bgColor indexed="64"/>
      </patternFill>
    </fill>
    <fill>
      <patternFill patternType="solid">
        <fgColor indexed="27"/>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indexed="13"/>
        <bgColor indexed="64"/>
      </patternFill>
    </fill>
    <fill>
      <patternFill patternType="solid">
        <fgColor indexed="45"/>
        <bgColor indexed="64"/>
      </patternFill>
    </fill>
    <fill>
      <patternFill patternType="solid">
        <fgColor indexed="51"/>
        <bgColor indexed="64"/>
      </patternFill>
    </fill>
    <fill>
      <patternFill patternType="solid">
        <fgColor indexed="11"/>
        <bgColor indexed="64"/>
      </patternFill>
    </fill>
    <fill>
      <patternFill patternType="solid">
        <fgColor theme="0" tint="-0.34998626667073579"/>
        <bgColor indexed="64"/>
      </patternFill>
    </fill>
  </fills>
  <borders count="92">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bottom/>
      <diagonal/>
    </border>
    <border>
      <left style="thin">
        <color indexed="8"/>
      </left>
      <right style="thin">
        <color indexed="8"/>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double">
        <color indexed="64"/>
      </bottom>
      <diagonal/>
    </border>
    <border diagonalDown="1">
      <left/>
      <right/>
      <top style="medium">
        <color indexed="64"/>
      </top>
      <bottom style="double">
        <color indexed="64"/>
      </bottom>
      <diagonal style="thin">
        <color indexed="64"/>
      </diagonal>
    </border>
    <border>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dashed">
        <color indexed="64"/>
      </right>
      <top style="medium">
        <color indexed="64"/>
      </top>
      <bottom style="thin">
        <color indexed="64"/>
      </bottom>
      <diagonal/>
    </border>
    <border>
      <left style="dashed">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dotted">
        <color indexed="64"/>
      </right>
      <top style="thin">
        <color indexed="64"/>
      </top>
      <bottom style="double">
        <color indexed="64"/>
      </bottom>
      <diagonal/>
    </border>
    <border>
      <left style="dotted">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dashed">
        <color indexed="64"/>
      </right>
      <top style="double">
        <color indexed="64"/>
      </top>
      <bottom style="hair">
        <color indexed="64"/>
      </bottom>
      <diagonal/>
    </border>
    <border>
      <left style="dashed">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hair">
        <color indexed="64"/>
      </bottom>
      <diagonal/>
    </border>
    <border>
      <left style="medium">
        <color indexed="64"/>
      </left>
      <right style="medium">
        <color indexed="64"/>
      </right>
      <top/>
      <bottom/>
      <diagonal/>
    </border>
    <border>
      <left style="medium">
        <color indexed="64"/>
      </left>
      <right style="dashed">
        <color indexed="64"/>
      </right>
      <top style="hair">
        <color indexed="64"/>
      </top>
      <bottom style="hair">
        <color indexed="64"/>
      </bottom>
      <diagonal/>
    </border>
    <border>
      <left style="dashed">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medium">
        <color indexed="64"/>
      </left>
      <right style="dashed">
        <color indexed="64"/>
      </right>
      <top style="hair">
        <color indexed="64"/>
      </top>
      <bottom style="medium">
        <color indexed="64"/>
      </bottom>
      <diagonal/>
    </border>
    <border>
      <left style="dashed">
        <color indexed="64"/>
      </left>
      <right style="thin">
        <color indexed="64"/>
      </right>
      <top style="hair">
        <color indexed="64"/>
      </top>
      <bottom style="medium">
        <color indexed="64"/>
      </bottom>
      <diagonal/>
    </border>
    <border>
      <left style="medium">
        <color indexed="64"/>
      </left>
      <right/>
      <top/>
      <bottom/>
      <diagonal/>
    </border>
    <border>
      <left/>
      <right style="thin">
        <color indexed="64"/>
      </right>
      <top/>
      <bottom/>
      <diagonal/>
    </border>
    <border>
      <left style="medium">
        <color indexed="64"/>
      </left>
      <right style="hair">
        <color indexed="64"/>
      </right>
      <top style="thin">
        <color indexed="64"/>
      </top>
      <bottom style="thin">
        <color indexed="64"/>
      </bottom>
      <diagonal/>
    </border>
    <border>
      <left style="thin">
        <color indexed="64"/>
      </left>
      <right style="thin">
        <color indexed="64"/>
      </right>
      <top style="hair">
        <color indexed="64"/>
      </top>
      <bottom/>
      <diagonal/>
    </border>
    <border>
      <left/>
      <right/>
      <top style="hair">
        <color indexed="64"/>
      </top>
      <bottom/>
      <diagonal/>
    </border>
    <border>
      <left style="hair">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6">
    <xf numFmtId="0" fontId="0" fillId="0" borderId="0"/>
    <xf numFmtId="0" fontId="2" fillId="2" borderId="0" applyNumberFormat="0" applyBorder="0" applyAlignment="0" applyProtection="0">
      <alignment vertical="center"/>
    </xf>
    <xf numFmtId="0" fontId="2" fillId="3" borderId="0" applyNumberFormat="0" applyBorder="0" applyAlignment="0" applyProtection="0">
      <alignment vertical="center"/>
    </xf>
    <xf numFmtId="0" fontId="2" fillId="4" borderId="0" applyNumberFormat="0" applyBorder="0" applyAlignment="0" applyProtection="0">
      <alignment vertical="center"/>
    </xf>
    <xf numFmtId="0" fontId="2" fillId="5" borderId="0" applyNumberFormat="0" applyBorder="0" applyAlignment="0" applyProtection="0">
      <alignment vertical="center"/>
    </xf>
    <xf numFmtId="0" fontId="2" fillId="6" borderId="0" applyNumberFormat="0" applyBorder="0" applyAlignment="0" applyProtection="0">
      <alignment vertical="center"/>
    </xf>
    <xf numFmtId="0" fontId="2" fillId="7" borderId="0" applyNumberFormat="0" applyBorder="0" applyAlignment="0" applyProtection="0">
      <alignment vertical="center"/>
    </xf>
    <xf numFmtId="0" fontId="2" fillId="8"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5" borderId="0" applyNumberFormat="0" applyBorder="0" applyAlignment="0" applyProtection="0">
      <alignment vertical="center"/>
    </xf>
    <xf numFmtId="0" fontId="2" fillId="8" borderId="0" applyNumberFormat="0" applyBorder="0" applyAlignment="0" applyProtection="0">
      <alignment vertical="center"/>
    </xf>
    <xf numFmtId="0" fontId="2" fillId="11" borderId="0" applyNumberFormat="0" applyBorder="0" applyAlignment="0" applyProtection="0">
      <alignment vertical="center"/>
    </xf>
    <xf numFmtId="0" fontId="3" fillId="12"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4" fontId="4" fillId="16" borderId="0" applyNumberFormat="0" applyBorder="0" applyAlignment="0" applyProtection="0">
      <alignment horizontal="left"/>
    </xf>
    <xf numFmtId="38" fontId="5" fillId="0" borderId="0" applyFont="0" applyFill="0" applyBorder="0" applyAlignment="0" applyProtection="0"/>
    <xf numFmtId="0" fontId="5" fillId="0" borderId="0" applyFont="0" applyFill="0" applyBorder="0" applyAlignment="0" applyProtection="0"/>
    <xf numFmtId="0" fontId="6" fillId="0" borderId="0"/>
    <xf numFmtId="0" fontId="3"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20" borderId="0" applyNumberFormat="0" applyBorder="0" applyAlignment="0" applyProtection="0">
      <alignment vertical="center"/>
    </xf>
    <xf numFmtId="0" fontId="7" fillId="0" borderId="0" applyNumberFormat="0" applyFill="0" applyBorder="0" applyAlignment="0" applyProtection="0">
      <alignment vertical="center"/>
    </xf>
    <xf numFmtId="0" fontId="8" fillId="21" borderId="1" applyNumberFormat="0" applyAlignment="0" applyProtection="0">
      <alignment vertical="center"/>
    </xf>
    <xf numFmtId="0" fontId="9" fillId="22" borderId="0" applyNumberFormat="0" applyBorder="0" applyAlignment="0" applyProtection="0">
      <alignment vertical="center"/>
    </xf>
    <xf numFmtId="0" fontId="10" fillId="23" borderId="2" applyNumberFormat="0" applyFont="0" applyAlignment="0" applyProtection="0">
      <alignment vertical="center"/>
    </xf>
    <xf numFmtId="0" fontId="11" fillId="0" borderId="3" applyNumberFormat="0" applyFill="0" applyAlignment="0" applyProtection="0">
      <alignment vertical="center"/>
    </xf>
    <xf numFmtId="0" fontId="12" fillId="3" borderId="0" applyNumberFormat="0" applyBorder="0" applyAlignment="0" applyProtection="0">
      <alignment vertical="center"/>
    </xf>
    <xf numFmtId="0" fontId="13" fillId="24" borderId="4" applyNumberFormat="0" applyAlignment="0" applyProtection="0">
      <alignment vertical="center"/>
    </xf>
    <xf numFmtId="0" fontId="14" fillId="0" borderId="0" applyNumberFormat="0" applyFill="0" applyBorder="0" applyAlignment="0" applyProtection="0">
      <alignment vertical="center"/>
    </xf>
    <xf numFmtId="0" fontId="15" fillId="0" borderId="5" applyNumberFormat="0" applyFill="0" applyAlignment="0" applyProtection="0">
      <alignment vertical="center"/>
    </xf>
    <xf numFmtId="0" fontId="16" fillId="0" borderId="6" applyNumberFormat="0" applyFill="0" applyAlignment="0" applyProtection="0">
      <alignment vertical="center"/>
    </xf>
    <xf numFmtId="0" fontId="17" fillId="0" borderId="7" applyNumberFormat="0" applyFill="0" applyAlignment="0" applyProtection="0">
      <alignment vertical="center"/>
    </xf>
    <xf numFmtId="0" fontId="17" fillId="0" borderId="0" applyNumberFormat="0" applyFill="0" applyBorder="0" applyAlignment="0" applyProtection="0">
      <alignment vertical="center"/>
    </xf>
    <xf numFmtId="0" fontId="18" fillId="0" borderId="8" applyNumberFormat="0" applyFill="0" applyAlignment="0" applyProtection="0">
      <alignment vertical="center"/>
    </xf>
    <xf numFmtId="0" fontId="19" fillId="24" borderId="9" applyNumberFormat="0" applyAlignment="0" applyProtection="0">
      <alignment vertical="center"/>
    </xf>
    <xf numFmtId="0" fontId="20" fillId="0" borderId="0" applyNumberFormat="0" applyFill="0" applyBorder="0" applyAlignment="0" applyProtection="0">
      <alignment vertical="center"/>
    </xf>
    <xf numFmtId="0" fontId="21" fillId="7" borderId="4" applyNumberFormat="0" applyAlignment="0" applyProtection="0">
      <alignment vertical="center"/>
    </xf>
    <xf numFmtId="0" fontId="22" fillId="4" borderId="0" applyNumberFormat="0" applyBorder="0" applyAlignment="0" applyProtection="0">
      <alignment vertical="center"/>
    </xf>
  </cellStyleXfs>
  <cellXfs count="264">
    <xf numFmtId="0" fontId="0" fillId="0" borderId="0" xfId="0"/>
    <xf numFmtId="0" fontId="0" fillId="0" borderId="0" xfId="0" applyAlignment="1" applyProtection="1">
      <alignment vertical="center"/>
    </xf>
    <xf numFmtId="0" fontId="24" fillId="0" borderId="0" xfId="0" applyFont="1" applyAlignment="1" applyProtection="1">
      <alignment horizontal="center" vertical="center"/>
    </xf>
    <xf numFmtId="49" fontId="0" fillId="0" borderId="0" xfId="0" applyNumberFormat="1" applyAlignment="1">
      <alignment horizontal="center" vertical="center"/>
    </xf>
    <xf numFmtId="0" fontId="25" fillId="0" borderId="0" xfId="0" applyNumberFormat="1" applyFont="1" applyBorder="1" applyAlignment="1">
      <alignment horizontal="right" vertical="center"/>
    </xf>
    <xf numFmtId="0" fontId="0" fillId="0" borderId="0" xfId="0" applyAlignment="1">
      <alignment horizontal="center" vertical="center"/>
    </xf>
    <xf numFmtId="0" fontId="0" fillId="0" borderId="0" xfId="0" applyAlignment="1">
      <alignment horizontal="center" vertical="center" wrapText="1"/>
    </xf>
    <xf numFmtId="176" fontId="0" fillId="0" borderId="0" xfId="0" applyNumberFormat="1" applyAlignment="1">
      <alignment horizontal="center" vertical="center"/>
    </xf>
    <xf numFmtId="176" fontId="10" fillId="0" borderId="0" xfId="0" applyNumberFormat="1" applyFont="1" applyAlignment="1">
      <alignment horizontal="center" vertical="center"/>
    </xf>
    <xf numFmtId="0" fontId="0" fillId="0" borderId="0" xfId="0" applyNumberFormat="1" applyAlignment="1">
      <alignment vertical="center"/>
    </xf>
    <xf numFmtId="0" fontId="0" fillId="0" borderId="0" xfId="0" applyNumberFormat="1" applyAlignment="1">
      <alignment horizontal="center" vertical="center"/>
    </xf>
    <xf numFmtId="0" fontId="0" fillId="0" borderId="0" xfId="0" applyAlignment="1">
      <alignment vertical="center"/>
    </xf>
    <xf numFmtId="179" fontId="0" fillId="0" borderId="0" xfId="0" applyNumberFormat="1" applyAlignment="1" applyProtection="1">
      <alignment vertical="center"/>
    </xf>
    <xf numFmtId="179" fontId="0" fillId="0" borderId="0" xfId="0" applyNumberFormat="1" applyAlignment="1" applyProtection="1">
      <alignment vertical="center"/>
      <protection locked="0"/>
    </xf>
    <xf numFmtId="179" fontId="0" fillId="0" borderId="0" xfId="0" applyNumberFormat="1" applyAlignment="1" applyProtection="1">
      <alignment horizontal="center" vertical="center"/>
      <protection locked="0"/>
    </xf>
    <xf numFmtId="0" fontId="27" fillId="0" borderId="0" xfId="0" applyFont="1" applyAlignment="1" applyProtection="1">
      <alignment vertical="center"/>
    </xf>
    <xf numFmtId="0" fontId="27" fillId="0" borderId="0" xfId="0" applyFont="1" applyAlignment="1" applyProtection="1">
      <alignment horizontal="left" vertical="center"/>
    </xf>
    <xf numFmtId="49" fontId="28" fillId="0" borderId="0" xfId="0" applyNumberFormat="1" applyFont="1" applyAlignment="1">
      <alignment horizontal="center" vertical="center"/>
    </xf>
    <xf numFmtId="0" fontId="28" fillId="0" borderId="0" xfId="0" applyNumberFormat="1" applyFont="1" applyAlignment="1">
      <alignment horizontal="left" vertical="center"/>
    </xf>
    <xf numFmtId="0" fontId="29" fillId="0" borderId="0" xfId="0" applyFont="1" applyAlignment="1">
      <alignment horizontal="center" vertical="center" wrapText="1"/>
    </xf>
    <xf numFmtId="176" fontId="30" fillId="0" borderId="0" xfId="0" applyNumberFormat="1" applyFont="1" applyAlignment="1">
      <alignment horizontal="center" vertical="center"/>
    </xf>
    <xf numFmtId="49" fontId="30" fillId="0" borderId="0" xfId="0" applyNumberFormat="1" applyFont="1" applyAlignment="1">
      <alignment horizontal="center" vertical="center" wrapText="1"/>
    </xf>
    <xf numFmtId="0" fontId="30" fillId="0" borderId="0" xfId="0" applyFont="1" applyAlignment="1">
      <alignment horizontal="center" vertical="center" wrapText="1"/>
    </xf>
    <xf numFmtId="0" fontId="31" fillId="0" borderId="10" xfId="0" applyFont="1" applyFill="1" applyBorder="1" applyAlignment="1" applyProtection="1">
      <alignment horizontal="centerContinuous" vertical="center" wrapText="1"/>
    </xf>
    <xf numFmtId="0" fontId="31" fillId="25" borderId="11" xfId="0" applyNumberFormat="1" applyFont="1" applyFill="1" applyBorder="1" applyAlignment="1" applyProtection="1">
      <alignment horizontal="center" vertical="center" wrapText="1"/>
    </xf>
    <xf numFmtId="49" fontId="31" fillId="26" borderId="12" xfId="0" applyNumberFormat="1" applyFont="1" applyFill="1" applyBorder="1" applyAlignment="1">
      <alignment horizontal="center" vertical="center" wrapText="1"/>
    </xf>
    <xf numFmtId="0" fontId="31" fillId="26" borderId="12" xfId="0" applyNumberFormat="1" applyFont="1" applyFill="1" applyBorder="1" applyAlignment="1">
      <alignment horizontal="centerContinuous" vertical="center" wrapText="1"/>
    </xf>
    <xf numFmtId="0" fontId="31" fillId="26" borderId="12" xfId="0" applyNumberFormat="1" applyFont="1" applyFill="1" applyBorder="1" applyAlignment="1">
      <alignment horizontal="center" vertical="center" wrapText="1"/>
    </xf>
    <xf numFmtId="0" fontId="31" fillId="27" borderId="12" xfId="0" applyNumberFormat="1" applyFont="1" applyFill="1" applyBorder="1" applyAlignment="1">
      <alignment horizontal="center" vertical="center" wrapText="1"/>
    </xf>
    <xf numFmtId="49" fontId="31" fillId="27" borderId="12" xfId="0" applyNumberFormat="1" applyFont="1" applyFill="1" applyBorder="1" applyAlignment="1">
      <alignment horizontal="center" vertical="center" wrapText="1"/>
    </xf>
    <xf numFmtId="0" fontId="31" fillId="28" borderId="12" xfId="0" applyNumberFormat="1" applyFont="1" applyFill="1" applyBorder="1" applyAlignment="1">
      <alignment horizontal="center" vertical="center" wrapText="1"/>
    </xf>
    <xf numFmtId="49" fontId="31" fillId="28" borderId="12" xfId="0" applyNumberFormat="1" applyFont="1" applyFill="1" applyBorder="1" applyAlignment="1">
      <alignment horizontal="center" vertical="center" wrapText="1"/>
    </xf>
    <xf numFmtId="0" fontId="32" fillId="29" borderId="12" xfId="0" applyNumberFormat="1" applyFont="1" applyFill="1" applyBorder="1" applyAlignment="1">
      <alignment horizontal="center" vertical="center" wrapText="1"/>
    </xf>
    <xf numFmtId="49" fontId="32" fillId="29" borderId="12" xfId="0" applyNumberFormat="1" applyFont="1" applyFill="1" applyBorder="1" applyAlignment="1">
      <alignment horizontal="center" vertical="center" wrapText="1"/>
    </xf>
    <xf numFmtId="0" fontId="31" fillId="29" borderId="12" xfId="0" applyNumberFormat="1" applyFont="1" applyFill="1" applyBorder="1" applyAlignment="1">
      <alignment horizontal="centerContinuous" vertical="center" wrapText="1"/>
    </xf>
    <xf numFmtId="0" fontId="31" fillId="29" borderId="12" xfId="0" applyNumberFormat="1" applyFont="1" applyFill="1" applyBorder="1" applyAlignment="1">
      <alignment horizontal="center" vertical="center" wrapText="1"/>
    </xf>
    <xf numFmtId="0" fontId="32" fillId="26" borderId="12" xfId="0" applyNumberFormat="1" applyFont="1" applyFill="1" applyBorder="1" applyAlignment="1">
      <alignment horizontal="center" vertical="center" wrapText="1"/>
    </xf>
    <xf numFmtId="0" fontId="32" fillId="29" borderId="12" xfId="0" applyNumberFormat="1" applyFont="1" applyFill="1" applyBorder="1" applyAlignment="1" applyProtection="1">
      <alignment horizontal="center" vertical="center" wrapText="1"/>
    </xf>
    <xf numFmtId="0" fontId="32" fillId="26" borderId="13" xfId="0" applyNumberFormat="1" applyFont="1" applyFill="1" applyBorder="1" applyAlignment="1" applyProtection="1">
      <alignment horizontal="center" vertical="center" wrapText="1"/>
    </xf>
    <xf numFmtId="0" fontId="33" fillId="0" borderId="0" xfId="0" applyFont="1"/>
    <xf numFmtId="0" fontId="0" fillId="0" borderId="10" xfId="0" applyBorder="1" applyAlignment="1" applyProtection="1">
      <alignment vertical="center"/>
    </xf>
    <xf numFmtId="0" fontId="10" fillId="0" borderId="14" xfId="0" applyFont="1" applyFill="1" applyBorder="1" applyAlignment="1" applyProtection="1">
      <alignment horizontal="center" vertical="center"/>
    </xf>
    <xf numFmtId="49" fontId="10" fillId="0" borderId="15" xfId="0" applyNumberFormat="1" applyFont="1" applyBorder="1" applyAlignment="1" applyProtection="1">
      <alignment horizontal="center" vertical="center" wrapText="1"/>
      <protection locked="0"/>
    </xf>
    <xf numFmtId="0" fontId="10" fillId="0" borderId="15" xfId="0" applyNumberFormat="1" applyFont="1" applyBorder="1" applyAlignment="1" applyProtection="1">
      <alignment vertical="center" wrapText="1"/>
      <protection locked="0"/>
    </xf>
    <xf numFmtId="0" fontId="0" fillId="0" borderId="15" xfId="0" applyBorder="1" applyAlignment="1" applyProtection="1">
      <alignment horizontal="center" vertical="center" wrapText="1"/>
      <protection locked="0"/>
    </xf>
    <xf numFmtId="0" fontId="10" fillId="0" borderId="15" xfId="0" applyFont="1" applyBorder="1" applyAlignment="1" applyProtection="1">
      <alignment horizontal="center" vertical="center" wrapText="1"/>
      <protection locked="0"/>
    </xf>
    <xf numFmtId="176" fontId="34" fillId="0" borderId="15" xfId="0" applyNumberFormat="1" applyFont="1" applyBorder="1" applyAlignment="1" applyProtection="1">
      <alignment horizontal="center" vertical="center" wrapText="1"/>
      <protection locked="0"/>
    </xf>
    <xf numFmtId="176" fontId="10" fillId="0" borderId="15" xfId="0" applyNumberFormat="1" applyFont="1" applyBorder="1" applyAlignment="1" applyProtection="1">
      <alignment horizontal="center" vertical="center" wrapText="1"/>
      <protection locked="0"/>
    </xf>
    <xf numFmtId="0" fontId="10" fillId="0" borderId="15" xfId="0" applyFont="1" applyFill="1" applyBorder="1" applyAlignment="1" applyProtection="1">
      <alignment horizontal="center" vertical="center" wrapText="1"/>
      <protection locked="0"/>
    </xf>
    <xf numFmtId="49" fontId="0" fillId="0" borderId="15" xfId="0" applyNumberFormat="1" applyBorder="1" applyAlignment="1" applyProtection="1">
      <alignment horizontal="center" vertical="center" wrapText="1"/>
      <protection locked="0"/>
    </xf>
    <xf numFmtId="0" fontId="0" fillId="0" borderId="15" xfId="0" applyNumberFormat="1" applyBorder="1" applyAlignment="1" applyProtection="1">
      <alignment horizontal="center" vertical="center" wrapText="1"/>
      <protection locked="0"/>
    </xf>
    <xf numFmtId="49" fontId="34" fillId="0" borderId="15" xfId="0" applyNumberFormat="1" applyFont="1" applyBorder="1" applyAlignment="1" applyProtection="1">
      <alignment horizontal="center" vertical="center" wrapText="1"/>
      <protection locked="0"/>
    </xf>
    <xf numFmtId="0" fontId="34" fillId="0" borderId="15" xfId="0" applyNumberFormat="1" applyFont="1" applyBorder="1" applyAlignment="1" applyProtection="1">
      <alignment horizontal="center" vertical="center" wrapText="1"/>
      <protection locked="0"/>
    </xf>
    <xf numFmtId="179" fontId="34" fillId="0" borderId="15" xfId="0" applyNumberFormat="1" applyFont="1" applyBorder="1" applyAlignment="1" applyProtection="1">
      <alignment vertical="center" wrapText="1"/>
    </xf>
    <xf numFmtId="179" fontId="34" fillId="0" borderId="15" xfId="0" applyNumberFormat="1" applyFont="1" applyBorder="1" applyAlignment="1" applyProtection="1">
      <alignment vertical="center" wrapText="1"/>
      <protection locked="0"/>
    </xf>
    <xf numFmtId="0" fontId="34" fillId="0" borderId="16" xfId="0" applyNumberFormat="1" applyFont="1" applyBorder="1" applyAlignment="1" applyProtection="1">
      <alignment horizontal="center" vertical="center" wrapText="1"/>
      <protection locked="0"/>
    </xf>
    <xf numFmtId="176" fontId="0" fillId="0" borderId="15" xfId="0" applyNumberFormat="1" applyBorder="1" applyAlignment="1" applyProtection="1">
      <alignment horizontal="center" vertical="center" wrapText="1"/>
      <protection locked="0"/>
    </xf>
    <xf numFmtId="179" fontId="0" fillId="0" borderId="15" xfId="0" applyNumberFormat="1" applyBorder="1" applyAlignment="1" applyProtection="1">
      <alignment vertical="center" wrapText="1"/>
    </xf>
    <xf numFmtId="179" fontId="0" fillId="0" borderId="15" xfId="0" applyNumberFormat="1" applyBorder="1" applyAlignment="1" applyProtection="1">
      <alignment vertical="center" wrapText="1"/>
      <protection locked="0"/>
    </xf>
    <xf numFmtId="0" fontId="0" fillId="0" borderId="16" xfId="0" applyNumberFormat="1" applyBorder="1" applyAlignment="1" applyProtection="1">
      <alignment horizontal="center" vertical="center" wrapText="1"/>
      <protection locked="0"/>
    </xf>
    <xf numFmtId="0" fontId="0" fillId="0" borderId="0" xfId="0" applyAlignment="1" applyProtection="1">
      <alignment horizontal="center" vertical="center"/>
    </xf>
    <xf numFmtId="0" fontId="0" fillId="0" borderId="0" xfId="0" applyFill="1" applyBorder="1"/>
    <xf numFmtId="0" fontId="0" fillId="0" borderId="0" xfId="0" applyFill="1" applyBorder="1" applyAlignment="1">
      <alignment horizontal="centerContinuous"/>
    </xf>
    <xf numFmtId="177" fontId="0" fillId="0" borderId="0" xfId="0" applyNumberFormat="1" applyFill="1" applyBorder="1" applyAlignment="1">
      <alignment horizontal="centerContinuous"/>
    </xf>
    <xf numFmtId="178" fontId="0" fillId="0" borderId="0" xfId="0" applyNumberFormat="1" applyFill="1" applyBorder="1" applyAlignment="1">
      <alignment horizontal="centerContinuous"/>
    </xf>
    <xf numFmtId="177" fontId="0" fillId="0" borderId="0" xfId="0" applyNumberFormat="1" applyFill="1" applyBorder="1" applyAlignment="1">
      <alignment horizontal="center"/>
    </xf>
    <xf numFmtId="0" fontId="0" fillId="0" borderId="0" xfId="0" applyNumberFormat="1"/>
    <xf numFmtId="0" fontId="0" fillId="0" borderId="0" xfId="0" applyBorder="1" applyAlignment="1">
      <alignment horizontal="center"/>
    </xf>
    <xf numFmtId="0" fontId="0" fillId="0" borderId="0" xfId="0" applyAlignment="1">
      <alignment horizontal="center"/>
    </xf>
    <xf numFmtId="177" fontId="0" fillId="0" borderId="0" xfId="0" applyNumberFormat="1" applyAlignment="1">
      <alignment horizontal="center"/>
    </xf>
    <xf numFmtId="178" fontId="0" fillId="0" borderId="0" xfId="0" applyNumberFormat="1" applyAlignment="1">
      <alignment horizontal="center"/>
    </xf>
    <xf numFmtId="0" fontId="0" fillId="0" borderId="17" xfId="0" pivotButton="1" applyBorder="1"/>
    <xf numFmtId="0" fontId="0" fillId="0" borderId="18" xfId="0" applyBorder="1"/>
    <xf numFmtId="14" fontId="0" fillId="0" borderId="0" xfId="0" applyNumberFormat="1"/>
    <xf numFmtId="176" fontId="0" fillId="0" borderId="17" xfId="0" applyNumberFormat="1" applyBorder="1"/>
    <xf numFmtId="0" fontId="0" fillId="0" borderId="18" xfId="0" applyNumberFormat="1" applyBorder="1"/>
    <xf numFmtId="14" fontId="0" fillId="0" borderId="17" xfId="0" applyNumberFormat="1" applyBorder="1"/>
    <xf numFmtId="176" fontId="0" fillId="0" borderId="19" xfId="0" applyNumberFormat="1" applyBorder="1"/>
    <xf numFmtId="0" fontId="0" fillId="0" borderId="20" xfId="0" applyNumberFormat="1" applyBorder="1"/>
    <xf numFmtId="14" fontId="0" fillId="0" borderId="19" xfId="0" applyNumberFormat="1" applyBorder="1"/>
    <xf numFmtId="0" fontId="0" fillId="0" borderId="19" xfId="0" applyBorder="1"/>
    <xf numFmtId="176" fontId="0" fillId="0" borderId="21" xfId="0" applyNumberFormat="1" applyBorder="1"/>
    <xf numFmtId="0" fontId="0" fillId="0" borderId="22" xfId="0" applyNumberFormat="1" applyBorder="1"/>
    <xf numFmtId="0" fontId="0" fillId="0" borderId="21" xfId="0" applyBorder="1"/>
    <xf numFmtId="0" fontId="0" fillId="28" borderId="23" xfId="0" applyFill="1" applyBorder="1" applyAlignment="1">
      <alignment horizontal="centerContinuous"/>
    </xf>
    <xf numFmtId="0" fontId="0" fillId="28" borderId="24" xfId="0" applyFill="1" applyBorder="1" applyAlignment="1">
      <alignment horizontal="centerContinuous"/>
    </xf>
    <xf numFmtId="0" fontId="0" fillId="28" borderId="25" xfId="0" applyFill="1" applyBorder="1" applyAlignment="1">
      <alignment horizontal="centerContinuous"/>
    </xf>
    <xf numFmtId="0" fontId="0" fillId="28" borderId="26" xfId="0" applyFill="1" applyBorder="1" applyAlignment="1">
      <alignment horizontal="centerContinuous"/>
    </xf>
    <xf numFmtId="0" fontId="0" fillId="28" borderId="27" xfId="0" applyFill="1" applyBorder="1" applyAlignment="1">
      <alignment horizontal="centerContinuous"/>
    </xf>
    <xf numFmtId="0" fontId="0" fillId="28" borderId="28" xfId="0" applyFill="1" applyBorder="1" applyAlignment="1">
      <alignment horizontal="centerContinuous"/>
    </xf>
    <xf numFmtId="177" fontId="0" fillId="30" borderId="15" xfId="0" applyNumberFormat="1" applyFill="1" applyBorder="1" applyAlignment="1">
      <alignment horizontal="centerContinuous"/>
    </xf>
    <xf numFmtId="178" fontId="0" fillId="30" borderId="15" xfId="0" applyNumberFormat="1" applyFill="1" applyBorder="1" applyAlignment="1">
      <alignment horizontal="centerContinuous"/>
    </xf>
    <xf numFmtId="0" fontId="0" fillId="0" borderId="15" xfId="0" applyBorder="1" applyAlignment="1">
      <alignment horizontal="centerContinuous"/>
    </xf>
    <xf numFmtId="0" fontId="0" fillId="31" borderId="15" xfId="0" applyFill="1" applyBorder="1" applyAlignment="1">
      <alignment horizontal="centerContinuous"/>
    </xf>
    <xf numFmtId="0" fontId="0" fillId="32" borderId="15" xfId="0" applyFill="1" applyBorder="1" applyAlignment="1">
      <alignment horizontal="centerContinuous"/>
    </xf>
    <xf numFmtId="177" fontId="0" fillId="0" borderId="15" xfId="0" applyNumberFormat="1" applyBorder="1" applyAlignment="1">
      <alignment horizontal="center"/>
    </xf>
    <xf numFmtId="178" fontId="0" fillId="0" borderId="15" xfId="0" applyNumberFormat="1" applyBorder="1" applyAlignment="1">
      <alignment horizontal="centerContinuous"/>
    </xf>
    <xf numFmtId="0" fontId="0" fillId="0" borderId="15" xfId="0" applyBorder="1"/>
    <xf numFmtId="0" fontId="0" fillId="28" borderId="15" xfId="0" applyFill="1" applyBorder="1"/>
    <xf numFmtId="0" fontId="0" fillId="28" borderId="15" xfId="0" applyFill="1" applyBorder="1" applyAlignment="1">
      <alignment horizontal="centerContinuous"/>
    </xf>
    <xf numFmtId="0" fontId="0" fillId="31" borderId="15" xfId="0" applyFill="1" applyBorder="1"/>
    <xf numFmtId="176" fontId="0" fillId="0" borderId="0" xfId="0" applyNumberFormat="1"/>
    <xf numFmtId="176" fontId="1" fillId="30" borderId="15" xfId="0" applyNumberFormat="1" applyFont="1" applyFill="1" applyBorder="1" applyAlignment="1">
      <alignment horizontal="centerContinuous"/>
    </xf>
    <xf numFmtId="0" fontId="1" fillId="32" borderId="15" xfId="0" applyFont="1" applyFill="1" applyBorder="1" applyAlignment="1">
      <alignment horizontal="centerContinuous"/>
    </xf>
    <xf numFmtId="0" fontId="0" fillId="0" borderId="0" xfId="0" applyBorder="1"/>
    <xf numFmtId="176" fontId="0" fillId="0" borderId="24" xfId="0" applyNumberFormat="1" applyBorder="1"/>
    <xf numFmtId="0" fontId="0" fillId="0" borderId="24" xfId="0" applyBorder="1"/>
    <xf numFmtId="176" fontId="0" fillId="0" borderId="0" xfId="0" applyNumberFormat="1" applyBorder="1"/>
    <xf numFmtId="0" fontId="0" fillId="33" borderId="29" xfId="0" applyFill="1" applyBorder="1" applyAlignment="1">
      <alignment horizontal="center" shrinkToFit="1"/>
    </xf>
    <xf numFmtId="0" fontId="0" fillId="0" borderId="30" xfId="0" applyBorder="1" applyAlignment="1">
      <alignment horizontal="center" shrinkToFit="1"/>
    </xf>
    <xf numFmtId="0" fontId="0" fillId="34" borderId="31" xfId="0" applyFill="1" applyBorder="1" applyAlignment="1">
      <alignment horizontal="center" shrinkToFit="1"/>
    </xf>
    <xf numFmtId="0" fontId="35" fillId="34" borderId="32" xfId="0" applyFont="1" applyFill="1" applyBorder="1" applyAlignment="1">
      <alignment horizontal="center" shrinkToFit="1"/>
    </xf>
    <xf numFmtId="0" fontId="0" fillId="34" borderId="33" xfId="0" applyFill="1" applyBorder="1" applyAlignment="1">
      <alignment horizontal="center" shrinkToFit="1"/>
    </xf>
    <xf numFmtId="0" fontId="0" fillId="0" borderId="0" xfId="0" applyAlignment="1">
      <alignment horizontal="center" shrinkToFit="1"/>
    </xf>
    <xf numFmtId="0" fontId="0" fillId="33" borderId="34" xfId="0" applyFill="1" applyBorder="1" applyAlignment="1">
      <alignment horizontal="center" shrinkToFit="1"/>
    </xf>
    <xf numFmtId="0" fontId="0" fillId="0" borderId="35" xfId="0" applyBorder="1" applyAlignment="1">
      <alignment horizontal="center"/>
    </xf>
    <xf numFmtId="0" fontId="0" fillId="0" borderId="35" xfId="0" applyBorder="1"/>
    <xf numFmtId="0" fontId="0" fillId="0" borderId="36" xfId="0" applyBorder="1"/>
    <xf numFmtId="0" fontId="0" fillId="33" borderId="37" xfId="0" applyFill="1" applyBorder="1" applyAlignment="1">
      <alignment horizontal="center" shrinkToFit="1"/>
    </xf>
    <xf numFmtId="0" fontId="0" fillId="0" borderId="38" xfId="0" applyBorder="1" applyAlignment="1">
      <alignment horizontal="center"/>
    </xf>
    <xf numFmtId="0" fontId="0" fillId="0" borderId="38" xfId="0" applyBorder="1"/>
    <xf numFmtId="0" fontId="0" fillId="0" borderId="39" xfId="0" applyBorder="1"/>
    <xf numFmtId="0" fontId="0" fillId="33" borderId="40" xfId="0" applyFill="1" applyBorder="1" applyAlignment="1">
      <alignment horizontal="center" shrinkToFit="1"/>
    </xf>
    <xf numFmtId="0" fontId="0" fillId="0" borderId="41" xfId="0" applyBorder="1" applyAlignment="1">
      <alignment horizontal="center"/>
    </xf>
    <xf numFmtId="0" fontId="0" fillId="0" borderId="41" xfId="0" applyBorder="1"/>
    <xf numFmtId="0" fontId="0" fillId="0" borderId="42" xfId="0" applyBorder="1"/>
    <xf numFmtId="0" fontId="0" fillId="33" borderId="43" xfId="0" applyFill="1" applyBorder="1" applyAlignment="1">
      <alignment horizontal="center" shrinkToFit="1"/>
    </xf>
    <xf numFmtId="0" fontId="0" fillId="0" borderId="44" xfId="0" applyBorder="1" applyAlignment="1">
      <alignment horizontal="center"/>
    </xf>
    <xf numFmtId="0" fontId="0" fillId="0" borderId="44" xfId="0" applyBorder="1"/>
    <xf numFmtId="0" fontId="0" fillId="0" borderId="45" xfId="0" applyBorder="1"/>
    <xf numFmtId="0" fontId="0" fillId="33" borderId="46" xfId="0" applyFill="1" applyBorder="1" applyAlignment="1">
      <alignment horizontal="center" shrinkToFit="1"/>
    </xf>
    <xf numFmtId="0" fontId="0" fillId="0" borderId="47" xfId="0" applyBorder="1" applyAlignment="1">
      <alignment horizontal="center"/>
    </xf>
    <xf numFmtId="0" fontId="0" fillId="0" borderId="47" xfId="0" applyBorder="1"/>
    <xf numFmtId="0" fontId="0" fillId="0" borderId="48" xfId="0" applyBorder="1"/>
    <xf numFmtId="0" fontId="0" fillId="0" borderId="11" xfId="0" applyBorder="1" applyAlignment="1">
      <alignment horizontal="center" shrinkToFit="1"/>
    </xf>
    <xf numFmtId="0" fontId="0" fillId="34" borderId="12" xfId="0" applyFill="1" applyBorder="1" applyAlignment="1">
      <alignment horizontal="center" shrinkToFit="1"/>
    </xf>
    <xf numFmtId="0" fontId="0" fillId="34" borderId="13" xfId="0" applyFill="1" applyBorder="1" applyAlignment="1">
      <alignment horizontal="center" shrinkToFit="1"/>
    </xf>
    <xf numFmtId="0" fontId="0" fillId="33" borderId="14" xfId="0" applyFill="1" applyBorder="1" applyAlignment="1">
      <alignment horizontal="center" shrinkToFit="1"/>
    </xf>
    <xf numFmtId="0" fontId="0" fillId="0" borderId="16" xfId="0" applyBorder="1"/>
    <xf numFmtId="0" fontId="0" fillId="33" borderId="49" xfId="0" applyFill="1" applyBorder="1" applyAlignment="1">
      <alignment horizontal="center" shrinkToFit="1"/>
    </xf>
    <xf numFmtId="0" fontId="0" fillId="0" borderId="50" xfId="0" applyBorder="1"/>
    <xf numFmtId="0" fontId="0" fillId="0" borderId="51" xfId="0" applyBorder="1"/>
    <xf numFmtId="0" fontId="36" fillId="35" borderId="52" xfId="0" applyFont="1" applyFill="1" applyBorder="1"/>
    <xf numFmtId="0" fontId="1" fillId="35" borderId="53" xfId="0" applyFont="1" applyFill="1" applyBorder="1" applyAlignment="1">
      <alignment horizontal="center"/>
    </xf>
    <xf numFmtId="0" fontId="0" fillId="35" borderId="53" xfId="0" applyFill="1" applyBorder="1"/>
    <xf numFmtId="0" fontId="0" fillId="35" borderId="53" xfId="0" applyFill="1" applyBorder="1" applyAlignment="1">
      <alignment horizontal="center"/>
    </xf>
    <xf numFmtId="0" fontId="0" fillId="35" borderId="54" xfId="0" applyFill="1" applyBorder="1" applyAlignment="1">
      <alignment horizontal="center"/>
    </xf>
    <xf numFmtId="0" fontId="1" fillId="25" borderId="55" xfId="0" applyFont="1" applyFill="1" applyBorder="1" applyAlignment="1">
      <alignment horizontal="center"/>
    </xf>
    <xf numFmtId="0" fontId="1" fillId="25" borderId="56" xfId="0" applyFont="1" applyFill="1" applyBorder="1" applyAlignment="1">
      <alignment horizontal="center"/>
    </xf>
    <xf numFmtId="0" fontId="1" fillId="25" borderId="57" xfId="0" applyFont="1" applyFill="1" applyBorder="1" applyAlignment="1">
      <alignment horizontal="center"/>
    </xf>
    <xf numFmtId="0" fontId="1" fillId="25" borderId="12" xfId="0" applyFont="1" applyFill="1" applyBorder="1" applyAlignment="1">
      <alignment horizontal="center"/>
    </xf>
    <xf numFmtId="0" fontId="1" fillId="25" borderId="13" xfId="0" applyFont="1" applyFill="1" applyBorder="1" applyAlignment="1">
      <alignment horizontal="center"/>
    </xf>
    <xf numFmtId="0" fontId="1" fillId="36" borderId="58" xfId="0" applyFont="1" applyFill="1" applyBorder="1" applyAlignment="1">
      <alignment horizontal="center"/>
    </xf>
    <xf numFmtId="0" fontId="37" fillId="36" borderId="59" xfId="0" applyFont="1" applyFill="1" applyBorder="1" applyAlignment="1">
      <alignment horizontal="center" vertical="center"/>
    </xf>
    <xf numFmtId="0" fontId="1" fillId="36" borderId="60" xfId="0" applyFont="1" applyFill="1" applyBorder="1" applyAlignment="1">
      <alignment horizontal="center"/>
    </xf>
    <xf numFmtId="0" fontId="1" fillId="36" borderId="61" xfId="0" applyFont="1" applyFill="1" applyBorder="1" applyAlignment="1">
      <alignment horizontal="center"/>
    </xf>
    <xf numFmtId="0" fontId="1" fillId="36" borderId="62" xfId="0" applyFont="1" applyFill="1" applyBorder="1" applyAlignment="1">
      <alignment horizontal="center"/>
    </xf>
    <xf numFmtId="0" fontId="1" fillId="0" borderId="63" xfId="0" applyFont="1" applyBorder="1" applyAlignment="1">
      <alignment horizontal="center"/>
    </xf>
    <xf numFmtId="0" fontId="10" fillId="33" borderId="64" xfId="0" applyFont="1" applyFill="1" applyBorder="1" applyAlignment="1">
      <alignment horizontal="center"/>
    </xf>
    <xf numFmtId="0" fontId="10" fillId="0" borderId="65" xfId="0" applyFont="1" applyBorder="1" applyAlignment="1">
      <alignment horizontal="center"/>
    </xf>
    <xf numFmtId="0" fontId="0" fillId="0" borderId="66" xfId="0" applyBorder="1"/>
    <xf numFmtId="0" fontId="0" fillId="35" borderId="67" xfId="0" applyFill="1" applyBorder="1" applyAlignment="1">
      <alignment horizontal="center"/>
    </xf>
    <xf numFmtId="0" fontId="0" fillId="0" borderId="66" xfId="0" applyBorder="1" applyAlignment="1">
      <alignment horizontal="center"/>
    </xf>
    <xf numFmtId="0" fontId="0" fillId="0" borderId="68" xfId="0" applyBorder="1" applyAlignment="1">
      <alignment horizontal="center"/>
    </xf>
    <xf numFmtId="0" fontId="0" fillId="0" borderId="69" xfId="0" applyBorder="1"/>
    <xf numFmtId="0" fontId="10" fillId="33" borderId="70" xfId="0" applyFont="1" applyFill="1" applyBorder="1" applyAlignment="1">
      <alignment horizontal="center"/>
    </xf>
    <xf numFmtId="0" fontId="10" fillId="0" borderId="71" xfId="0" applyFont="1" applyBorder="1" applyAlignment="1">
      <alignment horizontal="center"/>
    </xf>
    <xf numFmtId="0" fontId="0" fillId="0" borderId="72" xfId="0" applyBorder="1"/>
    <xf numFmtId="0" fontId="0" fillId="33" borderId="15" xfId="0" applyFill="1" applyBorder="1" applyAlignment="1">
      <alignment horizontal="center"/>
    </xf>
    <xf numFmtId="0" fontId="0" fillId="0" borderId="72" xfId="0" applyBorder="1" applyAlignment="1">
      <alignment horizontal="center"/>
    </xf>
    <xf numFmtId="0" fontId="0" fillId="0" borderId="73" xfId="0" applyBorder="1" applyAlignment="1">
      <alignment horizontal="center"/>
    </xf>
    <xf numFmtId="0" fontId="0" fillId="0" borderId="74" xfId="0" applyBorder="1" applyAlignment="1">
      <alignment horizontal="center"/>
    </xf>
    <xf numFmtId="0" fontId="10" fillId="28" borderId="70" xfId="0" applyFont="1" applyFill="1" applyBorder="1" applyAlignment="1">
      <alignment horizontal="center"/>
    </xf>
    <xf numFmtId="0" fontId="0" fillId="0" borderId="70" xfId="0" applyFill="1" applyBorder="1" applyAlignment="1">
      <alignment horizontal="center"/>
    </xf>
    <xf numFmtId="0" fontId="0" fillId="0" borderId="71" xfId="0" applyFill="1" applyBorder="1" applyAlignment="1">
      <alignment vertical="top" wrapText="1"/>
    </xf>
    <xf numFmtId="0" fontId="0" fillId="0" borderId="71" xfId="0" applyFill="1" applyBorder="1" applyAlignment="1"/>
    <xf numFmtId="0" fontId="0" fillId="0" borderId="75" xfId="0" applyFill="1" applyBorder="1" applyAlignment="1">
      <alignment horizontal="center"/>
    </xf>
    <xf numFmtId="0" fontId="0" fillId="0" borderId="76" xfId="0" applyFill="1" applyBorder="1" applyAlignment="1">
      <alignment vertical="top" wrapText="1"/>
    </xf>
    <xf numFmtId="0" fontId="0" fillId="0" borderId="77" xfId="0" applyFill="1" applyBorder="1" applyAlignment="1">
      <alignment horizontal="center"/>
    </xf>
    <xf numFmtId="0" fontId="0" fillId="0" borderId="78" xfId="0" applyFill="1" applyBorder="1" applyAlignment="1">
      <alignment vertical="top" wrapText="1"/>
    </xf>
    <xf numFmtId="0" fontId="0" fillId="0" borderId="77" xfId="0" applyBorder="1"/>
    <xf numFmtId="0" fontId="0" fillId="0" borderId="77" xfId="0" applyBorder="1" applyAlignment="1">
      <alignment horizontal="center"/>
    </xf>
    <xf numFmtId="0" fontId="0" fillId="0" borderId="78" xfId="0" applyBorder="1" applyAlignment="1"/>
    <xf numFmtId="0" fontId="0" fillId="33" borderId="79" xfId="0" applyFill="1" applyBorder="1" applyAlignment="1">
      <alignment horizontal="center"/>
    </xf>
    <xf numFmtId="0" fontId="0" fillId="0" borderId="78" xfId="0" applyBorder="1" applyAlignment="1">
      <alignment vertical="top" wrapText="1"/>
    </xf>
    <xf numFmtId="0" fontId="0" fillId="28" borderId="79" xfId="0" applyFill="1" applyBorder="1" applyAlignment="1">
      <alignment horizontal="center"/>
    </xf>
    <xf numFmtId="0" fontId="0" fillId="0" borderId="80" xfId="0" applyBorder="1"/>
    <xf numFmtId="0" fontId="0" fillId="0" borderId="80" xfId="0" applyBorder="1" applyAlignment="1">
      <alignment horizontal="center"/>
    </xf>
    <xf numFmtId="0" fontId="0" fillId="0" borderId="0" xfId="0" applyBorder="1" applyAlignment="1"/>
    <xf numFmtId="0" fontId="0" fillId="0" borderId="81" xfId="0" applyBorder="1" applyAlignment="1">
      <alignment horizontal="center"/>
    </xf>
    <xf numFmtId="0" fontId="0" fillId="0" borderId="81" xfId="0" applyBorder="1"/>
    <xf numFmtId="0" fontId="39" fillId="0" borderId="0" xfId="0" applyFont="1"/>
    <xf numFmtId="0" fontId="0" fillId="0" borderId="0" xfId="0" applyFill="1" applyAlignment="1">
      <alignment horizontal="center"/>
    </xf>
    <xf numFmtId="0" fontId="36" fillId="37" borderId="10" xfId="0" applyFont="1" applyFill="1" applyBorder="1"/>
    <xf numFmtId="0" fontId="0" fillId="37" borderId="0" xfId="0" applyFill="1"/>
    <xf numFmtId="0" fontId="0" fillId="37" borderId="0" xfId="0" applyFill="1" applyBorder="1" applyAlignment="1"/>
    <xf numFmtId="0" fontId="1" fillId="0" borderId="10" xfId="0" applyFont="1" applyFill="1" applyBorder="1" applyAlignment="1">
      <alignment horizontal="center"/>
    </xf>
    <xf numFmtId="0" fontId="1" fillId="0" borderId="0" xfId="0" applyFont="1" applyFill="1" applyBorder="1" applyAlignment="1"/>
    <xf numFmtId="0" fontId="0" fillId="0" borderId="0" xfId="0" applyFill="1"/>
    <xf numFmtId="0" fontId="10" fillId="0" borderId="0" xfId="0" applyFont="1" applyFill="1" applyAlignment="1">
      <alignment horizontal="center"/>
    </xf>
    <xf numFmtId="0" fontId="10" fillId="0" borderId="0" xfId="0" applyFont="1" applyFill="1" applyBorder="1" applyAlignment="1">
      <alignment horizontal="center"/>
    </xf>
    <xf numFmtId="0" fontId="1" fillId="36" borderId="79" xfId="0" applyFont="1" applyFill="1" applyBorder="1" applyAlignment="1">
      <alignment horizontal="center"/>
    </xf>
    <xf numFmtId="0" fontId="1" fillId="36" borderId="82" xfId="0" applyFont="1" applyFill="1" applyBorder="1" applyAlignment="1">
      <alignment horizontal="center"/>
    </xf>
    <xf numFmtId="0" fontId="1" fillId="36" borderId="83" xfId="0" applyFont="1" applyFill="1" applyBorder="1" applyAlignment="1">
      <alignment horizontal="center"/>
    </xf>
    <xf numFmtId="0" fontId="10" fillId="0" borderId="0" xfId="0" applyFont="1" applyFill="1" applyBorder="1" applyAlignment="1"/>
    <xf numFmtId="0" fontId="0" fillId="0" borderId="79" xfId="0" applyBorder="1" applyAlignment="1">
      <alignment horizontal="center"/>
    </xf>
    <xf numFmtId="0" fontId="0" fillId="0" borderId="82" xfId="0" applyBorder="1" applyAlignment="1">
      <alignment horizontal="center"/>
    </xf>
    <xf numFmtId="0" fontId="0" fillId="0" borderId="83" xfId="0" applyBorder="1" applyAlignment="1">
      <alignment horizontal="center"/>
    </xf>
    <xf numFmtId="0" fontId="0" fillId="0" borderId="0" xfId="0" applyFill="1" applyBorder="1" applyAlignment="1"/>
    <xf numFmtId="0" fontId="0" fillId="0" borderId="10" xfId="0" applyFill="1" applyBorder="1"/>
    <xf numFmtId="0" fontId="0" fillId="0" borderId="10" xfId="0" applyBorder="1"/>
    <xf numFmtId="0" fontId="1" fillId="33" borderId="79" xfId="0" applyFont="1" applyFill="1" applyBorder="1" applyAlignment="1">
      <alignment horizontal="center"/>
    </xf>
    <xf numFmtId="0" fontId="1" fillId="33" borderId="82" xfId="0" applyFont="1" applyFill="1" applyBorder="1" applyAlignment="1">
      <alignment horizontal="center"/>
    </xf>
    <xf numFmtId="0" fontId="1" fillId="33" borderId="83" xfId="0" applyFont="1" applyFill="1" applyBorder="1" applyAlignment="1">
      <alignment horizontal="center"/>
    </xf>
    <xf numFmtId="0" fontId="0" fillId="0" borderId="0" xfId="0" applyFill="1" applyBorder="1" applyAlignment="1">
      <alignment horizontal="center"/>
    </xf>
    <xf numFmtId="0" fontId="0" fillId="0" borderId="84" xfId="0" applyBorder="1" applyAlignment="1">
      <alignment horizontal="center"/>
    </xf>
    <xf numFmtId="0" fontId="0" fillId="0" borderId="85" xfId="0" applyBorder="1" applyAlignment="1">
      <alignment horizontal="center"/>
    </xf>
    <xf numFmtId="0" fontId="0" fillId="0" borderId="86" xfId="0" applyBorder="1" applyAlignment="1">
      <alignment horizontal="center"/>
    </xf>
    <xf numFmtId="0" fontId="0" fillId="0" borderId="87" xfId="0" applyBorder="1" applyAlignment="1">
      <alignment horizontal="center"/>
    </xf>
    <xf numFmtId="0" fontId="0" fillId="0" borderId="88" xfId="0" applyBorder="1" applyAlignment="1">
      <alignment horizontal="center"/>
    </xf>
    <xf numFmtId="0" fontId="0" fillId="0" borderId="0" xfId="0" applyAlignment="1">
      <alignment horizontal="left"/>
    </xf>
    <xf numFmtId="0" fontId="0" fillId="0" borderId="0" xfId="0" applyAlignment="1">
      <alignment horizontal="right"/>
    </xf>
    <xf numFmtId="0" fontId="0" fillId="0" borderId="0" xfId="0" applyFill="1" applyAlignment="1"/>
    <xf numFmtId="0" fontId="0" fillId="0" borderId="0" xfId="0" applyNumberFormat="1" applyFont="1" applyFill="1" applyBorder="1" applyAlignment="1">
      <alignment horizontal="left"/>
    </xf>
    <xf numFmtId="0" fontId="0" fillId="0" borderId="0" xfId="0" applyNumberFormat="1" applyFont="1" applyFill="1" applyBorder="1" applyAlignment="1">
      <alignment horizontal="center"/>
    </xf>
    <xf numFmtId="180" fontId="0" fillId="0" borderId="0" xfId="0" applyNumberFormat="1" applyFont="1" applyFill="1" applyBorder="1" applyAlignment="1"/>
    <xf numFmtId="181" fontId="0" fillId="0" borderId="0" xfId="0" applyNumberFormat="1" applyFont="1" applyFill="1" applyBorder="1" applyAlignment="1">
      <alignment horizontal="center"/>
    </xf>
    <xf numFmtId="0" fontId="0" fillId="0" borderId="15" xfId="0" applyNumberFormat="1" applyFont="1" applyFill="1" applyBorder="1" applyAlignment="1">
      <alignment horizontal="center"/>
    </xf>
    <xf numFmtId="180" fontId="0" fillId="0" borderId="15" xfId="0" applyNumberFormat="1" applyFont="1" applyFill="1" applyBorder="1" applyAlignment="1">
      <alignment horizontal="center"/>
    </xf>
    <xf numFmtId="180" fontId="0" fillId="0" borderId="15" xfId="0" applyNumberFormat="1" applyFont="1" applyFill="1" applyBorder="1" applyAlignment="1">
      <alignment horizontal="center" vertical="center"/>
    </xf>
    <xf numFmtId="49" fontId="0" fillId="0" borderId="15" xfId="0" applyNumberFormat="1" applyFont="1" applyBorder="1" applyAlignment="1" applyProtection="1">
      <alignment horizontal="center" vertical="center" wrapText="1"/>
      <protection locked="0"/>
    </xf>
    <xf numFmtId="0" fontId="0" fillId="0" borderId="0" xfId="0" applyAlignment="1">
      <alignment horizontal="left" vertical="center"/>
    </xf>
    <xf numFmtId="0" fontId="0" fillId="0" borderId="0" xfId="0" applyAlignment="1">
      <alignment wrapText="1"/>
    </xf>
    <xf numFmtId="0" fontId="0" fillId="0" borderId="15" xfId="0" applyNumberFormat="1" applyFont="1" applyFill="1" applyBorder="1" applyAlignment="1">
      <alignment horizontal="center"/>
    </xf>
    <xf numFmtId="0" fontId="0" fillId="0" borderId="24" xfId="0" applyNumberFormat="1" applyFont="1" applyFill="1" applyBorder="1" applyAlignment="1">
      <alignment horizontal="center"/>
    </xf>
    <xf numFmtId="0" fontId="31" fillId="39" borderId="12" xfId="0" applyNumberFormat="1" applyFont="1" applyFill="1" applyBorder="1" applyAlignment="1">
      <alignment horizontal="center" vertical="center" wrapText="1"/>
    </xf>
    <xf numFmtId="49" fontId="31" fillId="39" borderId="12" xfId="0" applyNumberFormat="1" applyFont="1" applyFill="1" applyBorder="1" applyAlignment="1">
      <alignment horizontal="center" vertical="center" wrapText="1"/>
    </xf>
    <xf numFmtId="0" fontId="32" fillId="39" borderId="12" xfId="0" applyNumberFormat="1" applyFont="1" applyFill="1" applyBorder="1" applyAlignment="1">
      <alignment horizontal="center" vertical="center" wrapText="1"/>
    </xf>
    <xf numFmtId="49" fontId="32" fillId="39" borderId="12" xfId="0" applyNumberFormat="1" applyFont="1" applyFill="1" applyBorder="1" applyAlignment="1">
      <alignment horizontal="center" vertical="center" wrapText="1"/>
    </xf>
    <xf numFmtId="0" fontId="0" fillId="0" borderId="15" xfId="0" applyFill="1" applyBorder="1" applyAlignment="1" applyProtection="1">
      <alignment horizontal="center" vertical="center" wrapText="1"/>
      <protection locked="0"/>
    </xf>
    <xf numFmtId="182" fontId="0" fillId="0" borderId="15" xfId="0" applyNumberFormat="1" applyFill="1" applyBorder="1" applyAlignment="1" applyProtection="1">
      <alignment horizontal="center" vertical="center" wrapText="1"/>
      <protection locked="0"/>
    </xf>
    <xf numFmtId="182" fontId="48" fillId="0" borderId="15" xfId="0" applyNumberFormat="1" applyFont="1" applyFill="1" applyBorder="1" applyAlignment="1" applyProtection="1">
      <alignment horizontal="center" vertical="center" wrapText="1"/>
      <protection locked="0"/>
    </xf>
    <xf numFmtId="182" fontId="49" fillId="0" borderId="15" xfId="0" applyNumberFormat="1" applyFont="1" applyFill="1" applyBorder="1" applyAlignment="1" applyProtection="1">
      <alignment horizontal="center" vertical="center" wrapText="1"/>
      <protection locked="0"/>
    </xf>
    <xf numFmtId="182" fontId="50" fillId="0" borderId="15" xfId="0" applyNumberFormat="1" applyFont="1" applyFill="1" applyBorder="1" applyAlignment="1" applyProtection="1">
      <alignment horizontal="center" vertical="center" wrapText="1"/>
      <protection locked="0"/>
    </xf>
    <xf numFmtId="0" fontId="48" fillId="0" borderId="15" xfId="0" applyFont="1" applyFill="1" applyBorder="1" applyAlignment="1" applyProtection="1">
      <alignment horizontal="center" vertical="center" wrapText="1"/>
      <protection locked="0"/>
    </xf>
    <xf numFmtId="0" fontId="2" fillId="0" borderId="15" xfId="0" applyFont="1" applyFill="1" applyBorder="1" applyAlignment="1" applyProtection="1">
      <alignment vertical="center" wrapText="1"/>
      <protection locked="0"/>
    </xf>
    <xf numFmtId="0" fontId="0" fillId="0" borderId="15" xfId="0" applyFill="1" applyBorder="1" applyAlignment="1" applyProtection="1">
      <alignment vertical="center" wrapText="1"/>
      <protection locked="0"/>
    </xf>
    <xf numFmtId="0" fontId="0" fillId="0" borderId="15" xfId="0" applyNumberFormat="1" applyFont="1" applyBorder="1" applyAlignment="1" applyProtection="1">
      <alignment vertical="center" wrapText="1"/>
      <protection locked="0"/>
    </xf>
    <xf numFmtId="176" fontId="49" fillId="0" borderId="15" xfId="0" applyNumberFormat="1" applyFont="1" applyBorder="1" applyAlignment="1" applyProtection="1">
      <alignment horizontal="center" vertical="center" wrapText="1"/>
      <protection locked="0"/>
    </xf>
    <xf numFmtId="0" fontId="51" fillId="0" borderId="15" xfId="0" applyNumberFormat="1" applyFont="1" applyBorder="1" applyAlignment="1" applyProtection="1">
      <alignment vertical="center" wrapText="1"/>
      <protection locked="0"/>
    </xf>
    <xf numFmtId="0" fontId="52" fillId="0" borderId="15" xfId="0" applyFont="1" applyFill="1" applyBorder="1" applyAlignment="1" applyProtection="1">
      <alignment vertical="center" wrapText="1"/>
      <protection locked="0"/>
    </xf>
    <xf numFmtId="0" fontId="51" fillId="0" borderId="15" xfId="0" applyFont="1" applyFill="1" applyBorder="1" applyAlignment="1" applyProtection="1">
      <alignment vertical="center" wrapText="1"/>
      <protection locked="0"/>
    </xf>
    <xf numFmtId="0" fontId="54" fillId="0" borderId="15" xfId="0" applyFont="1" applyFill="1" applyBorder="1" applyAlignment="1" applyProtection="1">
      <alignment vertical="center" wrapText="1"/>
      <protection locked="0"/>
    </xf>
    <xf numFmtId="0" fontId="0" fillId="0" borderId="15" xfId="0" applyNumberFormat="1" applyFont="1" applyFill="1" applyBorder="1" applyAlignment="1">
      <alignment horizontal="center"/>
    </xf>
    <xf numFmtId="0" fontId="1" fillId="36" borderId="14" xfId="0" applyFont="1" applyFill="1" applyBorder="1" applyAlignment="1">
      <alignment horizontal="center" vertical="top"/>
    </xf>
    <xf numFmtId="0" fontId="0" fillId="0" borderId="15" xfId="0" applyBorder="1" applyAlignment="1">
      <alignment horizontal="center"/>
    </xf>
    <xf numFmtId="0" fontId="0" fillId="0" borderId="14" xfId="0" applyFill="1" applyBorder="1" applyAlignment="1" applyProtection="1">
      <alignment horizontal="center"/>
      <protection locked="0"/>
    </xf>
    <xf numFmtId="0" fontId="1" fillId="38" borderId="89" xfId="0" applyFont="1" applyFill="1" applyBorder="1" applyAlignment="1">
      <alignment horizontal="center"/>
    </xf>
    <xf numFmtId="0" fontId="0" fillId="0" borderId="90" xfId="0" applyBorder="1" applyAlignment="1">
      <alignment horizontal="center"/>
    </xf>
    <xf numFmtId="0" fontId="0" fillId="0" borderId="91" xfId="0" applyBorder="1" applyAlignment="1">
      <alignment horizontal="center"/>
    </xf>
    <xf numFmtId="0" fontId="1" fillId="33" borderId="89" xfId="0" applyFont="1" applyFill="1" applyBorder="1" applyAlignment="1">
      <alignment horizontal="center"/>
    </xf>
    <xf numFmtId="0" fontId="0" fillId="33" borderId="90" xfId="0" applyFill="1" applyBorder="1" applyAlignment="1">
      <alignment horizontal="center"/>
    </xf>
    <xf numFmtId="0" fontId="0" fillId="33" borderId="91" xfId="0" applyFill="1" applyBorder="1" applyAlignment="1">
      <alignment horizontal="center"/>
    </xf>
    <xf numFmtId="0" fontId="1" fillId="25" borderId="89" xfId="0" applyFont="1" applyFill="1" applyBorder="1" applyAlignment="1">
      <alignment horizontal="center"/>
    </xf>
  </cellXfs>
  <cellStyles count="46">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Background" xfId="19"/>
    <cellStyle name="Comma [0]" xfId="20"/>
    <cellStyle name="Currency [0]" xfId="21"/>
    <cellStyle name="Normal_Advanced Topics" xfId="22"/>
    <cellStyle name="アクセント 1" xfId="23" builtinId="29" customBuiltin="1"/>
    <cellStyle name="アクセント 2" xfId="24" builtinId="33" customBuiltin="1"/>
    <cellStyle name="アクセント 3" xfId="25" builtinId="37" customBuiltin="1"/>
    <cellStyle name="アクセント 4" xfId="26" builtinId="41" customBuiltin="1"/>
    <cellStyle name="アクセント 5" xfId="27" builtinId="45" customBuiltin="1"/>
    <cellStyle name="アクセント 6" xfId="28" builtinId="49" customBuiltin="1"/>
    <cellStyle name="タイトル" xfId="29" builtinId="15" customBuiltin="1"/>
    <cellStyle name="チェック セル" xfId="30" builtinId="23" customBuiltin="1"/>
    <cellStyle name="どちらでもない" xfId="31" builtinId="28" customBuiltin="1"/>
    <cellStyle name="メモ" xfId="32" builtinId="10" customBuiltin="1"/>
    <cellStyle name="リンク セル" xfId="33" builtinId="24" customBuiltin="1"/>
    <cellStyle name="悪い" xfId="34" builtinId="27" customBuiltin="1"/>
    <cellStyle name="計算" xfId="35" builtinId="22" customBuiltin="1"/>
    <cellStyle name="警告文" xfId="36" builtinId="11" customBuiltin="1"/>
    <cellStyle name="見出し 1" xfId="37" builtinId="16" customBuiltin="1"/>
    <cellStyle name="見出し 2" xfId="38" builtinId="17" customBuiltin="1"/>
    <cellStyle name="見出し 3" xfId="39" builtinId="18" customBuiltin="1"/>
    <cellStyle name="見出し 4" xfId="40" builtinId="19" customBuiltin="1"/>
    <cellStyle name="集計" xfId="41" builtinId="25" customBuiltin="1"/>
    <cellStyle name="出力" xfId="42" builtinId="21" customBuiltin="1"/>
    <cellStyle name="説明文" xfId="43" builtinId="53" customBuiltin="1"/>
    <cellStyle name="入力" xfId="44" builtinId="20" customBuiltin="1"/>
    <cellStyle name="標準" xfId="0" builtinId="0"/>
    <cellStyle name="良い" xfId="45" builtinId="26" customBuiltin="1"/>
  </cellStyles>
  <dxfs count="42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i="0" u="none" strike="noStrike" baseline="0">
                <a:solidFill>
                  <a:srgbClr val="000000"/>
                </a:solidFill>
                <a:latin typeface="ＭＳ Ｐゴシック"/>
                <a:ea typeface="ＭＳ Ｐゴシック"/>
                <a:cs typeface="ＭＳ Ｐゴシック"/>
              </a:defRPr>
            </a:pPr>
            <a:r>
              <a:rPr lang="ja-JP" altLang="en-US" sz="1100" b="0" i="0" u="none" strike="noStrike" baseline="0">
                <a:solidFill>
                  <a:srgbClr val="000000"/>
                </a:solidFill>
                <a:latin typeface="ＭＳ Ｐゴシック"/>
                <a:ea typeface="ＭＳ Ｐゴシック"/>
              </a:rPr>
              <a:t>2006年1月</a:t>
            </a:r>
            <a:endParaRPr lang="ja-JP" altLang="en-US"/>
          </a:p>
        </c:rich>
      </c:tx>
      <c:layout>
        <c:manualLayout>
          <c:xMode val="edge"/>
          <c:yMode val="edge"/>
          <c:x val="0.46047053413195144"/>
          <c:y val="3.2036613272311214E-2"/>
        </c:manualLayout>
      </c:layout>
      <c:overlay val="0"/>
      <c:spPr>
        <a:noFill/>
        <a:ln w="25400">
          <a:noFill/>
        </a:ln>
      </c:spPr>
    </c:title>
    <c:autoTitleDeleted val="0"/>
    <c:plotArea>
      <c:layout>
        <c:manualLayout>
          <c:layoutTarget val="inner"/>
          <c:xMode val="edge"/>
          <c:yMode val="edge"/>
          <c:x val="3.9529955772940634E-2"/>
          <c:y val="0.14874141876430205"/>
          <c:w val="0.82158205376733373"/>
          <c:h val="0.6407322654462243"/>
        </c:manualLayout>
      </c:layout>
      <c:lineChart>
        <c:grouping val="standard"/>
        <c:varyColors val="0"/>
        <c:ser>
          <c:idx val="2"/>
          <c:order val="0"/>
          <c:tx>
            <c:strRef>
              <c:f>gwork!$N$6</c:f>
              <c:strCache>
                <c:ptCount val="1"/>
                <c:pt idx="0">
                  <c:v>検出件数</c:v>
                </c:pt>
              </c:strCache>
            </c:strRef>
          </c:tx>
          <c:cat>
            <c:numRef>
              <c:f>gwork!$L$7:$M$37</c:f>
              <c:numCache>
                <c:formatCode>d"日"</c:formatCode>
                <c:ptCount val="31"/>
                <c:pt idx="0">
                  <c:v>38718</c:v>
                </c:pt>
                <c:pt idx="1">
                  <c:v>38719</c:v>
                </c:pt>
                <c:pt idx="2">
                  <c:v>38720</c:v>
                </c:pt>
                <c:pt idx="3">
                  <c:v>38721</c:v>
                </c:pt>
                <c:pt idx="4">
                  <c:v>38722</c:v>
                </c:pt>
                <c:pt idx="5">
                  <c:v>38723</c:v>
                </c:pt>
                <c:pt idx="6">
                  <c:v>38724</c:v>
                </c:pt>
                <c:pt idx="7">
                  <c:v>38725</c:v>
                </c:pt>
                <c:pt idx="8">
                  <c:v>38726</c:v>
                </c:pt>
                <c:pt idx="9">
                  <c:v>38727</c:v>
                </c:pt>
                <c:pt idx="10">
                  <c:v>38728</c:v>
                </c:pt>
                <c:pt idx="11">
                  <c:v>38729</c:v>
                </c:pt>
                <c:pt idx="12">
                  <c:v>38730</c:v>
                </c:pt>
                <c:pt idx="13">
                  <c:v>38731</c:v>
                </c:pt>
                <c:pt idx="14">
                  <c:v>38732</c:v>
                </c:pt>
                <c:pt idx="15">
                  <c:v>38733</c:v>
                </c:pt>
                <c:pt idx="16">
                  <c:v>38734</c:v>
                </c:pt>
                <c:pt idx="17">
                  <c:v>38735</c:v>
                </c:pt>
                <c:pt idx="18">
                  <c:v>38736</c:v>
                </c:pt>
                <c:pt idx="19">
                  <c:v>38737</c:v>
                </c:pt>
                <c:pt idx="20">
                  <c:v>38738</c:v>
                </c:pt>
                <c:pt idx="21">
                  <c:v>38739</c:v>
                </c:pt>
                <c:pt idx="22">
                  <c:v>38740</c:v>
                </c:pt>
                <c:pt idx="23">
                  <c:v>38741</c:v>
                </c:pt>
                <c:pt idx="24">
                  <c:v>38742</c:v>
                </c:pt>
                <c:pt idx="25">
                  <c:v>38743</c:v>
                </c:pt>
                <c:pt idx="26">
                  <c:v>38744</c:v>
                </c:pt>
                <c:pt idx="27">
                  <c:v>38745</c:v>
                </c:pt>
                <c:pt idx="28">
                  <c:v>38746</c:v>
                </c:pt>
                <c:pt idx="29">
                  <c:v>38747</c:v>
                </c:pt>
                <c:pt idx="30">
                  <c:v>38748</c:v>
                </c:pt>
              </c:numCache>
            </c:numRef>
          </c:cat>
          <c:val>
            <c:numRef>
              <c:f>gwork!$N$7:$N$37</c:f>
            </c:numRef>
          </c:val>
          <c:smooth val="0"/>
          <c:extLst xmlns:c16r2="http://schemas.microsoft.com/office/drawing/2015/06/chart">
            <c:ext xmlns:c16="http://schemas.microsoft.com/office/drawing/2014/chart" uri="{C3380CC4-5D6E-409C-BE32-E72D297353CC}">
              <c16:uniqueId val="{00000000-384B-4B76-8348-3EE199B24CE7}"/>
            </c:ext>
          </c:extLst>
        </c:ser>
        <c:ser>
          <c:idx val="3"/>
          <c:order val="1"/>
          <c:tx>
            <c:strRef>
              <c:f>gwork!$O$6</c:f>
              <c:strCache>
                <c:ptCount val="1"/>
                <c:pt idx="0">
                  <c:v>回答件数</c:v>
                </c:pt>
              </c:strCache>
            </c:strRef>
          </c:tx>
          <c:cat>
            <c:numRef>
              <c:f>gwork!$L$7:$M$37</c:f>
              <c:numCache>
                <c:formatCode>d"日"</c:formatCode>
                <c:ptCount val="31"/>
                <c:pt idx="0">
                  <c:v>38718</c:v>
                </c:pt>
                <c:pt idx="1">
                  <c:v>38719</c:v>
                </c:pt>
                <c:pt idx="2">
                  <c:v>38720</c:v>
                </c:pt>
                <c:pt idx="3">
                  <c:v>38721</c:v>
                </c:pt>
                <c:pt idx="4">
                  <c:v>38722</c:v>
                </c:pt>
                <c:pt idx="5">
                  <c:v>38723</c:v>
                </c:pt>
                <c:pt idx="6">
                  <c:v>38724</c:v>
                </c:pt>
                <c:pt idx="7">
                  <c:v>38725</c:v>
                </c:pt>
                <c:pt idx="8">
                  <c:v>38726</c:v>
                </c:pt>
                <c:pt idx="9">
                  <c:v>38727</c:v>
                </c:pt>
                <c:pt idx="10">
                  <c:v>38728</c:v>
                </c:pt>
                <c:pt idx="11">
                  <c:v>38729</c:v>
                </c:pt>
                <c:pt idx="12">
                  <c:v>38730</c:v>
                </c:pt>
                <c:pt idx="13">
                  <c:v>38731</c:v>
                </c:pt>
                <c:pt idx="14">
                  <c:v>38732</c:v>
                </c:pt>
                <c:pt idx="15">
                  <c:v>38733</c:v>
                </c:pt>
                <c:pt idx="16">
                  <c:v>38734</c:v>
                </c:pt>
                <c:pt idx="17">
                  <c:v>38735</c:v>
                </c:pt>
                <c:pt idx="18">
                  <c:v>38736</c:v>
                </c:pt>
                <c:pt idx="19">
                  <c:v>38737</c:v>
                </c:pt>
                <c:pt idx="20">
                  <c:v>38738</c:v>
                </c:pt>
                <c:pt idx="21">
                  <c:v>38739</c:v>
                </c:pt>
                <c:pt idx="22">
                  <c:v>38740</c:v>
                </c:pt>
                <c:pt idx="23">
                  <c:v>38741</c:v>
                </c:pt>
                <c:pt idx="24">
                  <c:v>38742</c:v>
                </c:pt>
                <c:pt idx="25">
                  <c:v>38743</c:v>
                </c:pt>
                <c:pt idx="26">
                  <c:v>38744</c:v>
                </c:pt>
                <c:pt idx="27">
                  <c:v>38745</c:v>
                </c:pt>
                <c:pt idx="28">
                  <c:v>38746</c:v>
                </c:pt>
                <c:pt idx="29">
                  <c:v>38747</c:v>
                </c:pt>
                <c:pt idx="30">
                  <c:v>38748</c:v>
                </c:pt>
              </c:numCache>
            </c:numRef>
          </c:cat>
          <c:val>
            <c:numRef>
              <c:f>gwork!$O$7:$O$37</c:f>
            </c:numRef>
          </c:val>
          <c:smooth val="0"/>
          <c:extLst xmlns:c16r2="http://schemas.microsoft.com/office/drawing/2015/06/chart">
            <c:ext xmlns:c16="http://schemas.microsoft.com/office/drawing/2014/chart" uri="{C3380CC4-5D6E-409C-BE32-E72D297353CC}">
              <c16:uniqueId val="{00000001-384B-4B76-8348-3EE199B24CE7}"/>
            </c:ext>
          </c:extLst>
        </c:ser>
        <c:ser>
          <c:idx val="4"/>
          <c:order val="2"/>
          <c:tx>
            <c:strRef>
              <c:f>gwork!$P$6</c:f>
              <c:strCache>
                <c:ptCount val="1"/>
                <c:pt idx="0">
                  <c:v>残件数</c:v>
                </c:pt>
              </c:strCache>
            </c:strRef>
          </c:tx>
          <c:cat>
            <c:numRef>
              <c:f>gwork!$L$7:$M$37</c:f>
              <c:numCache>
                <c:formatCode>d"日"</c:formatCode>
                <c:ptCount val="31"/>
                <c:pt idx="0">
                  <c:v>38718</c:v>
                </c:pt>
                <c:pt idx="1">
                  <c:v>38719</c:v>
                </c:pt>
                <c:pt idx="2">
                  <c:v>38720</c:v>
                </c:pt>
                <c:pt idx="3">
                  <c:v>38721</c:v>
                </c:pt>
                <c:pt idx="4">
                  <c:v>38722</c:v>
                </c:pt>
                <c:pt idx="5">
                  <c:v>38723</c:v>
                </c:pt>
                <c:pt idx="6">
                  <c:v>38724</c:v>
                </c:pt>
                <c:pt idx="7">
                  <c:v>38725</c:v>
                </c:pt>
                <c:pt idx="8">
                  <c:v>38726</c:v>
                </c:pt>
                <c:pt idx="9">
                  <c:v>38727</c:v>
                </c:pt>
                <c:pt idx="10">
                  <c:v>38728</c:v>
                </c:pt>
                <c:pt idx="11">
                  <c:v>38729</c:v>
                </c:pt>
                <c:pt idx="12">
                  <c:v>38730</c:v>
                </c:pt>
                <c:pt idx="13">
                  <c:v>38731</c:v>
                </c:pt>
                <c:pt idx="14">
                  <c:v>38732</c:v>
                </c:pt>
                <c:pt idx="15">
                  <c:v>38733</c:v>
                </c:pt>
                <c:pt idx="16">
                  <c:v>38734</c:v>
                </c:pt>
                <c:pt idx="17">
                  <c:v>38735</c:v>
                </c:pt>
                <c:pt idx="18">
                  <c:v>38736</c:v>
                </c:pt>
                <c:pt idx="19">
                  <c:v>38737</c:v>
                </c:pt>
                <c:pt idx="20">
                  <c:v>38738</c:v>
                </c:pt>
                <c:pt idx="21">
                  <c:v>38739</c:v>
                </c:pt>
                <c:pt idx="22">
                  <c:v>38740</c:v>
                </c:pt>
                <c:pt idx="23">
                  <c:v>38741</c:v>
                </c:pt>
                <c:pt idx="24">
                  <c:v>38742</c:v>
                </c:pt>
                <c:pt idx="25">
                  <c:v>38743</c:v>
                </c:pt>
                <c:pt idx="26">
                  <c:v>38744</c:v>
                </c:pt>
                <c:pt idx="27">
                  <c:v>38745</c:v>
                </c:pt>
                <c:pt idx="28">
                  <c:v>38746</c:v>
                </c:pt>
                <c:pt idx="29">
                  <c:v>38747</c:v>
                </c:pt>
                <c:pt idx="30">
                  <c:v>38748</c:v>
                </c:pt>
              </c:numCache>
            </c:numRef>
          </c:cat>
          <c:val>
            <c:numRef>
              <c:f>gwork!$P$7:$P$37</c:f>
            </c:numRef>
          </c:val>
          <c:smooth val="0"/>
          <c:extLst xmlns:c16r2="http://schemas.microsoft.com/office/drawing/2015/06/chart">
            <c:ext xmlns:c16="http://schemas.microsoft.com/office/drawing/2014/chart" uri="{C3380CC4-5D6E-409C-BE32-E72D297353CC}">
              <c16:uniqueId val="{00000002-384B-4B76-8348-3EE199B24CE7}"/>
            </c:ext>
          </c:extLst>
        </c:ser>
        <c:ser>
          <c:idx val="5"/>
          <c:order val="3"/>
          <c:tx>
            <c:strRef>
              <c:f>gwork!$Q$6</c:f>
              <c:strCache>
                <c:ptCount val="1"/>
                <c:pt idx="0">
                  <c:v>月</c:v>
                </c:pt>
              </c:strCache>
            </c:strRef>
          </c:tx>
          <c:cat>
            <c:numRef>
              <c:f>gwork!$L$7:$M$37</c:f>
              <c:numCache>
                <c:formatCode>d"日"</c:formatCode>
                <c:ptCount val="31"/>
                <c:pt idx="0">
                  <c:v>38718</c:v>
                </c:pt>
                <c:pt idx="1">
                  <c:v>38719</c:v>
                </c:pt>
                <c:pt idx="2">
                  <c:v>38720</c:v>
                </c:pt>
                <c:pt idx="3">
                  <c:v>38721</c:v>
                </c:pt>
                <c:pt idx="4">
                  <c:v>38722</c:v>
                </c:pt>
                <c:pt idx="5">
                  <c:v>38723</c:v>
                </c:pt>
                <c:pt idx="6">
                  <c:v>38724</c:v>
                </c:pt>
                <c:pt idx="7">
                  <c:v>38725</c:v>
                </c:pt>
                <c:pt idx="8">
                  <c:v>38726</c:v>
                </c:pt>
                <c:pt idx="9">
                  <c:v>38727</c:v>
                </c:pt>
                <c:pt idx="10">
                  <c:v>38728</c:v>
                </c:pt>
                <c:pt idx="11">
                  <c:v>38729</c:v>
                </c:pt>
                <c:pt idx="12">
                  <c:v>38730</c:v>
                </c:pt>
                <c:pt idx="13">
                  <c:v>38731</c:v>
                </c:pt>
                <c:pt idx="14">
                  <c:v>38732</c:v>
                </c:pt>
                <c:pt idx="15">
                  <c:v>38733</c:v>
                </c:pt>
                <c:pt idx="16">
                  <c:v>38734</c:v>
                </c:pt>
                <c:pt idx="17">
                  <c:v>38735</c:v>
                </c:pt>
                <c:pt idx="18">
                  <c:v>38736</c:v>
                </c:pt>
                <c:pt idx="19">
                  <c:v>38737</c:v>
                </c:pt>
                <c:pt idx="20">
                  <c:v>38738</c:v>
                </c:pt>
                <c:pt idx="21">
                  <c:v>38739</c:v>
                </c:pt>
                <c:pt idx="22">
                  <c:v>38740</c:v>
                </c:pt>
                <c:pt idx="23">
                  <c:v>38741</c:v>
                </c:pt>
                <c:pt idx="24">
                  <c:v>38742</c:v>
                </c:pt>
                <c:pt idx="25">
                  <c:v>38743</c:v>
                </c:pt>
                <c:pt idx="26">
                  <c:v>38744</c:v>
                </c:pt>
                <c:pt idx="27">
                  <c:v>38745</c:v>
                </c:pt>
                <c:pt idx="28">
                  <c:v>38746</c:v>
                </c:pt>
                <c:pt idx="29">
                  <c:v>38747</c:v>
                </c:pt>
                <c:pt idx="30">
                  <c:v>38748</c:v>
                </c:pt>
              </c:numCache>
            </c:numRef>
          </c:cat>
          <c:val>
            <c:numRef>
              <c:f>gwork!$Q$7:$Q$37</c:f>
            </c:numRef>
          </c:val>
          <c:smooth val="0"/>
          <c:extLst xmlns:c16r2="http://schemas.microsoft.com/office/drawing/2015/06/chart">
            <c:ext xmlns:c16="http://schemas.microsoft.com/office/drawing/2014/chart" uri="{C3380CC4-5D6E-409C-BE32-E72D297353CC}">
              <c16:uniqueId val="{00000003-384B-4B76-8348-3EE199B24CE7}"/>
            </c:ext>
          </c:extLst>
        </c:ser>
        <c:ser>
          <c:idx val="6"/>
          <c:order val="4"/>
          <c:tx>
            <c:strRef>
              <c:f>gwork!$R$6</c:f>
              <c:strCache>
                <c:ptCount val="1"/>
                <c:pt idx="0">
                  <c:v>年</c:v>
                </c:pt>
              </c:strCache>
            </c:strRef>
          </c:tx>
          <c:cat>
            <c:numRef>
              <c:f>gwork!$L$7:$M$37</c:f>
              <c:numCache>
                <c:formatCode>d"日"</c:formatCode>
                <c:ptCount val="31"/>
                <c:pt idx="0">
                  <c:v>38718</c:v>
                </c:pt>
                <c:pt idx="1">
                  <c:v>38719</c:v>
                </c:pt>
                <c:pt idx="2">
                  <c:v>38720</c:v>
                </c:pt>
                <c:pt idx="3">
                  <c:v>38721</c:v>
                </c:pt>
                <c:pt idx="4">
                  <c:v>38722</c:v>
                </c:pt>
                <c:pt idx="5">
                  <c:v>38723</c:v>
                </c:pt>
                <c:pt idx="6">
                  <c:v>38724</c:v>
                </c:pt>
                <c:pt idx="7">
                  <c:v>38725</c:v>
                </c:pt>
                <c:pt idx="8">
                  <c:v>38726</c:v>
                </c:pt>
                <c:pt idx="9">
                  <c:v>38727</c:v>
                </c:pt>
                <c:pt idx="10">
                  <c:v>38728</c:v>
                </c:pt>
                <c:pt idx="11">
                  <c:v>38729</c:v>
                </c:pt>
                <c:pt idx="12">
                  <c:v>38730</c:v>
                </c:pt>
                <c:pt idx="13">
                  <c:v>38731</c:v>
                </c:pt>
                <c:pt idx="14">
                  <c:v>38732</c:v>
                </c:pt>
                <c:pt idx="15">
                  <c:v>38733</c:v>
                </c:pt>
                <c:pt idx="16">
                  <c:v>38734</c:v>
                </c:pt>
                <c:pt idx="17">
                  <c:v>38735</c:v>
                </c:pt>
                <c:pt idx="18">
                  <c:v>38736</c:v>
                </c:pt>
                <c:pt idx="19">
                  <c:v>38737</c:v>
                </c:pt>
                <c:pt idx="20">
                  <c:v>38738</c:v>
                </c:pt>
                <c:pt idx="21">
                  <c:v>38739</c:v>
                </c:pt>
                <c:pt idx="22">
                  <c:v>38740</c:v>
                </c:pt>
                <c:pt idx="23">
                  <c:v>38741</c:v>
                </c:pt>
                <c:pt idx="24">
                  <c:v>38742</c:v>
                </c:pt>
                <c:pt idx="25">
                  <c:v>38743</c:v>
                </c:pt>
                <c:pt idx="26">
                  <c:v>38744</c:v>
                </c:pt>
                <c:pt idx="27">
                  <c:v>38745</c:v>
                </c:pt>
                <c:pt idx="28">
                  <c:v>38746</c:v>
                </c:pt>
                <c:pt idx="29">
                  <c:v>38747</c:v>
                </c:pt>
                <c:pt idx="30">
                  <c:v>38748</c:v>
                </c:pt>
              </c:numCache>
            </c:numRef>
          </c:cat>
          <c:val>
            <c:numRef>
              <c:f>gwork!$R$7:$R$37</c:f>
            </c:numRef>
          </c:val>
          <c:smooth val="0"/>
          <c:extLst xmlns:c16r2="http://schemas.microsoft.com/office/drawing/2015/06/chart">
            <c:ext xmlns:c16="http://schemas.microsoft.com/office/drawing/2014/chart" uri="{C3380CC4-5D6E-409C-BE32-E72D297353CC}">
              <c16:uniqueId val="{00000004-384B-4B76-8348-3EE199B24CE7}"/>
            </c:ext>
          </c:extLst>
        </c:ser>
        <c:ser>
          <c:idx val="7"/>
          <c:order val="5"/>
          <c:tx>
            <c:strRef>
              <c:f>gwork!$S$6</c:f>
              <c:strCache>
                <c:ptCount val="1"/>
                <c:pt idx="0">
                  <c:v>検出累積</c:v>
                </c:pt>
              </c:strCache>
            </c:strRef>
          </c:tx>
          <c:cat>
            <c:numRef>
              <c:f>gwork!$L$7:$M$37</c:f>
              <c:numCache>
                <c:formatCode>d"日"</c:formatCode>
                <c:ptCount val="31"/>
                <c:pt idx="0">
                  <c:v>38718</c:v>
                </c:pt>
                <c:pt idx="1">
                  <c:v>38719</c:v>
                </c:pt>
                <c:pt idx="2">
                  <c:v>38720</c:v>
                </c:pt>
                <c:pt idx="3">
                  <c:v>38721</c:v>
                </c:pt>
                <c:pt idx="4">
                  <c:v>38722</c:v>
                </c:pt>
                <c:pt idx="5">
                  <c:v>38723</c:v>
                </c:pt>
                <c:pt idx="6">
                  <c:v>38724</c:v>
                </c:pt>
                <c:pt idx="7">
                  <c:v>38725</c:v>
                </c:pt>
                <c:pt idx="8">
                  <c:v>38726</c:v>
                </c:pt>
                <c:pt idx="9">
                  <c:v>38727</c:v>
                </c:pt>
                <c:pt idx="10">
                  <c:v>38728</c:v>
                </c:pt>
                <c:pt idx="11">
                  <c:v>38729</c:v>
                </c:pt>
                <c:pt idx="12">
                  <c:v>38730</c:v>
                </c:pt>
                <c:pt idx="13">
                  <c:v>38731</c:v>
                </c:pt>
                <c:pt idx="14">
                  <c:v>38732</c:v>
                </c:pt>
                <c:pt idx="15">
                  <c:v>38733</c:v>
                </c:pt>
                <c:pt idx="16">
                  <c:v>38734</c:v>
                </c:pt>
                <c:pt idx="17">
                  <c:v>38735</c:v>
                </c:pt>
                <c:pt idx="18">
                  <c:v>38736</c:v>
                </c:pt>
                <c:pt idx="19">
                  <c:v>38737</c:v>
                </c:pt>
                <c:pt idx="20">
                  <c:v>38738</c:v>
                </c:pt>
                <c:pt idx="21">
                  <c:v>38739</c:v>
                </c:pt>
                <c:pt idx="22">
                  <c:v>38740</c:v>
                </c:pt>
                <c:pt idx="23">
                  <c:v>38741</c:v>
                </c:pt>
                <c:pt idx="24">
                  <c:v>38742</c:v>
                </c:pt>
                <c:pt idx="25">
                  <c:v>38743</c:v>
                </c:pt>
                <c:pt idx="26">
                  <c:v>38744</c:v>
                </c:pt>
                <c:pt idx="27">
                  <c:v>38745</c:v>
                </c:pt>
                <c:pt idx="28">
                  <c:v>38746</c:v>
                </c:pt>
                <c:pt idx="29">
                  <c:v>38747</c:v>
                </c:pt>
                <c:pt idx="30">
                  <c:v>38748</c:v>
                </c:pt>
              </c:numCache>
            </c:numRef>
          </c:cat>
          <c:val>
            <c:numRef>
              <c:f>gwork!$S$7:$S$37</c:f>
              <c:numCache>
                <c:formatCode>General</c:formatCode>
                <c:ptCount val="31"/>
              </c:numCache>
            </c:numRef>
          </c:val>
          <c:smooth val="0"/>
          <c:extLst xmlns:c16r2="http://schemas.microsoft.com/office/drawing/2015/06/chart">
            <c:ext xmlns:c16="http://schemas.microsoft.com/office/drawing/2014/chart" uri="{C3380CC4-5D6E-409C-BE32-E72D297353CC}">
              <c16:uniqueId val="{00000005-384B-4B76-8348-3EE199B24CE7}"/>
            </c:ext>
          </c:extLst>
        </c:ser>
        <c:ser>
          <c:idx val="0"/>
          <c:order val="6"/>
          <c:tx>
            <c:strRef>
              <c:f>gwork!$T$6</c:f>
              <c:strCache>
                <c:ptCount val="1"/>
                <c:pt idx="0">
                  <c:v>回答累積</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gwork!$L$7:$M$37</c:f>
              <c:numCache>
                <c:formatCode>d"日"</c:formatCode>
                <c:ptCount val="31"/>
                <c:pt idx="0">
                  <c:v>38718</c:v>
                </c:pt>
                <c:pt idx="1">
                  <c:v>38719</c:v>
                </c:pt>
                <c:pt idx="2">
                  <c:v>38720</c:v>
                </c:pt>
                <c:pt idx="3">
                  <c:v>38721</c:v>
                </c:pt>
                <c:pt idx="4">
                  <c:v>38722</c:v>
                </c:pt>
                <c:pt idx="5">
                  <c:v>38723</c:v>
                </c:pt>
                <c:pt idx="6">
                  <c:v>38724</c:v>
                </c:pt>
                <c:pt idx="7">
                  <c:v>38725</c:v>
                </c:pt>
                <c:pt idx="8">
                  <c:v>38726</c:v>
                </c:pt>
                <c:pt idx="9">
                  <c:v>38727</c:v>
                </c:pt>
                <c:pt idx="10">
                  <c:v>38728</c:v>
                </c:pt>
                <c:pt idx="11">
                  <c:v>38729</c:v>
                </c:pt>
                <c:pt idx="12">
                  <c:v>38730</c:v>
                </c:pt>
                <c:pt idx="13">
                  <c:v>38731</c:v>
                </c:pt>
                <c:pt idx="14">
                  <c:v>38732</c:v>
                </c:pt>
                <c:pt idx="15">
                  <c:v>38733</c:v>
                </c:pt>
                <c:pt idx="16">
                  <c:v>38734</c:v>
                </c:pt>
                <c:pt idx="17">
                  <c:v>38735</c:v>
                </c:pt>
                <c:pt idx="18">
                  <c:v>38736</c:v>
                </c:pt>
                <c:pt idx="19">
                  <c:v>38737</c:v>
                </c:pt>
                <c:pt idx="20">
                  <c:v>38738</c:v>
                </c:pt>
                <c:pt idx="21">
                  <c:v>38739</c:v>
                </c:pt>
                <c:pt idx="22">
                  <c:v>38740</c:v>
                </c:pt>
                <c:pt idx="23">
                  <c:v>38741</c:v>
                </c:pt>
                <c:pt idx="24">
                  <c:v>38742</c:v>
                </c:pt>
                <c:pt idx="25">
                  <c:v>38743</c:v>
                </c:pt>
                <c:pt idx="26">
                  <c:v>38744</c:v>
                </c:pt>
                <c:pt idx="27">
                  <c:v>38745</c:v>
                </c:pt>
                <c:pt idx="28">
                  <c:v>38746</c:v>
                </c:pt>
                <c:pt idx="29">
                  <c:v>38747</c:v>
                </c:pt>
                <c:pt idx="30">
                  <c:v>38748</c:v>
                </c:pt>
              </c:numCache>
            </c:numRef>
          </c:cat>
          <c:val>
            <c:numRef>
              <c:f>gwork!$T$7:$T$37</c:f>
              <c:numCache>
                <c:formatCode>General</c:formatCode>
                <c:ptCount val="31"/>
              </c:numCache>
            </c:numRef>
          </c:val>
          <c:smooth val="0"/>
          <c:extLst xmlns:c16r2="http://schemas.microsoft.com/office/drawing/2015/06/chart">
            <c:ext xmlns:c16="http://schemas.microsoft.com/office/drawing/2014/chart" uri="{C3380CC4-5D6E-409C-BE32-E72D297353CC}">
              <c16:uniqueId val="{00000006-384B-4B76-8348-3EE199B24CE7}"/>
            </c:ext>
          </c:extLst>
        </c:ser>
        <c:dLbls>
          <c:showLegendKey val="0"/>
          <c:showVal val="0"/>
          <c:showCatName val="0"/>
          <c:showSerName val="0"/>
          <c:showPercent val="0"/>
          <c:showBubbleSize val="0"/>
        </c:dLbls>
        <c:marker val="1"/>
        <c:smooth val="0"/>
        <c:axId val="38809600"/>
        <c:axId val="38811520"/>
      </c:lineChart>
      <c:dateAx>
        <c:axId val="38809600"/>
        <c:scaling>
          <c:orientation val="minMax"/>
        </c:scaling>
        <c:delete val="0"/>
        <c:axPos val="b"/>
        <c:majorGridlines>
          <c:spPr>
            <a:ln w="3175">
              <a:solidFill>
                <a:srgbClr val="000000"/>
              </a:solidFill>
              <a:prstDash val="sysDash"/>
            </a:ln>
          </c:spPr>
        </c:majorGridlines>
        <c:numFmt formatCode="yy/mm/dd" sourceLinked="0"/>
        <c:majorTickMark val="in"/>
        <c:minorTickMark val="none"/>
        <c:tickLblPos val="nextTo"/>
        <c:spPr>
          <a:ln w="3175">
            <a:solidFill>
              <a:srgbClr val="000000"/>
            </a:solidFill>
            <a:prstDash val="solid"/>
          </a:ln>
        </c:spPr>
        <c:txPr>
          <a:bodyPr rot="-5400000" vert="horz"/>
          <a:lstStyle/>
          <a:p>
            <a:pPr>
              <a:defRPr sz="1100" b="0" i="0" u="none" strike="noStrike" baseline="0">
                <a:solidFill>
                  <a:srgbClr val="000000"/>
                </a:solidFill>
                <a:latin typeface="ＭＳ Ｐゴシック"/>
                <a:ea typeface="ＭＳ Ｐゴシック"/>
                <a:cs typeface="ＭＳ Ｐゴシック"/>
              </a:defRPr>
            </a:pPr>
            <a:endParaRPr lang="ja-JP"/>
          </a:p>
        </c:txPr>
        <c:crossAx val="38811520"/>
        <c:crosses val="autoZero"/>
        <c:auto val="1"/>
        <c:lblOffset val="100"/>
        <c:baseTimeUnit val="days"/>
        <c:majorUnit val="1"/>
        <c:majorTimeUnit val="days"/>
        <c:minorUnit val="1"/>
        <c:minorTimeUnit val="days"/>
      </c:dateAx>
      <c:valAx>
        <c:axId val="38811520"/>
        <c:scaling>
          <c:orientation val="minMax"/>
          <c:min val="0"/>
        </c:scaling>
        <c:delete val="0"/>
        <c:axPos val="l"/>
        <c:majorGridlines>
          <c:spPr>
            <a:ln w="3175">
              <a:solidFill>
                <a:srgbClr val="000000"/>
              </a:solidFill>
              <a:prstDash val="sysDash"/>
            </a:ln>
          </c:spPr>
        </c:majorGridlines>
        <c:numFmt formatCode="General" sourceLinked="1"/>
        <c:majorTickMark val="in"/>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ＭＳ Ｐゴシック"/>
                <a:ea typeface="ＭＳ Ｐゴシック"/>
                <a:cs typeface="ＭＳ Ｐゴシック"/>
              </a:defRPr>
            </a:pPr>
            <a:endParaRPr lang="ja-JP"/>
          </a:p>
        </c:txPr>
        <c:crossAx val="38809600"/>
        <c:crosses val="autoZero"/>
        <c:crossBetween val="midCat"/>
        <c:majorUnit val="1"/>
      </c:valAx>
      <c:spPr>
        <a:solidFill>
          <a:srgbClr val="FFFFFF"/>
        </a:solidFill>
        <a:ln w="12700">
          <a:solidFill>
            <a:srgbClr val="808080"/>
          </a:solidFill>
          <a:prstDash val="solid"/>
        </a:ln>
      </c:spPr>
    </c:plotArea>
    <c:legend>
      <c:legendPos val="r"/>
      <c:layout>
        <c:manualLayout>
          <c:xMode val="edge"/>
          <c:yMode val="edge"/>
          <c:x val="0.88461538461538458"/>
          <c:y val="0.42334096109839819"/>
          <c:w val="0.10683760683760683"/>
          <c:h val="9.3821510297482841E-2"/>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0" i="0" u="none" strike="noStrike" baseline="0">
                <a:solidFill>
                  <a:srgbClr val="000000"/>
                </a:solidFill>
                <a:latin typeface="ＭＳ Ｐゴシック"/>
                <a:ea typeface="ＭＳ Ｐゴシック"/>
                <a:cs typeface="ＭＳ Ｐゴシック"/>
              </a:defRPr>
            </a:pPr>
            <a:r>
              <a:rPr lang="ja-JP" altLang="en-US"/>
              <a:t>障害検出解決状況グラフ</a:t>
            </a:r>
          </a:p>
        </c:rich>
      </c:tx>
      <c:overlay val="0"/>
      <c:spPr>
        <a:noFill/>
        <a:ln w="25400">
          <a:noFill/>
        </a:ln>
      </c:spPr>
    </c:title>
    <c:autoTitleDeleted val="0"/>
    <c:plotArea>
      <c:layout/>
      <c:lineChart>
        <c:grouping val="standard"/>
        <c:varyColors val="0"/>
        <c:ser>
          <c:idx val="2"/>
          <c:order val="0"/>
          <c:tx>
            <c:strRef>
              <c:f>gwork2!$B$3</c:f>
              <c:strCache>
                <c:ptCount val="1"/>
                <c:pt idx="0">
                  <c:v>日付</c:v>
                </c:pt>
              </c:strCache>
            </c:strRef>
          </c:tx>
          <c:spPr>
            <a:ln w="12700">
              <a:solidFill>
                <a:srgbClr val="0000FF"/>
              </a:solidFill>
              <a:prstDash val="solid"/>
            </a:ln>
          </c:spPr>
          <c:marker>
            <c:symbol val="triangle"/>
            <c:size val="5"/>
            <c:spPr>
              <a:solidFill>
                <a:srgbClr val="0000FF"/>
              </a:solidFill>
              <a:ln>
                <a:solidFill>
                  <a:srgbClr val="0000FF"/>
                </a:solidFill>
                <a:prstDash val="solid"/>
              </a:ln>
            </c:spPr>
          </c:marker>
          <c:val>
            <c:numRef>
              <c:f>gwork2!$B$4:$B$47</c:f>
              <c:numCache>
                <c:formatCode>yy/mm/dd</c:formatCode>
                <c:ptCount val="44"/>
              </c:numCache>
            </c:numRef>
          </c:val>
          <c:smooth val="0"/>
          <c:extLst xmlns:c16r2="http://schemas.microsoft.com/office/drawing/2015/06/chart">
            <c:ext xmlns:c16="http://schemas.microsoft.com/office/drawing/2014/chart" uri="{C3380CC4-5D6E-409C-BE32-E72D297353CC}">
              <c16:uniqueId val="{00000000-17ED-4CC9-A44C-FBEC041830CF}"/>
            </c:ext>
          </c:extLst>
        </c:ser>
        <c:ser>
          <c:idx val="3"/>
          <c:order val="1"/>
          <c:tx>
            <c:strRef>
              <c:f>gwork2!$C$3</c:f>
              <c:strCache>
                <c:ptCount val="1"/>
                <c:pt idx="0">
                  <c:v>検出累積</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gwork2!$C$4:$C$47</c:f>
              <c:numCache>
                <c:formatCode>General</c:formatCode>
                <c:ptCount val="44"/>
              </c:numCache>
            </c:numRef>
          </c:val>
          <c:smooth val="0"/>
          <c:extLst xmlns:c16r2="http://schemas.microsoft.com/office/drawing/2015/06/chart">
            <c:ext xmlns:c16="http://schemas.microsoft.com/office/drawing/2014/chart" uri="{C3380CC4-5D6E-409C-BE32-E72D297353CC}">
              <c16:uniqueId val="{00000001-17ED-4CC9-A44C-FBEC041830CF}"/>
            </c:ext>
          </c:extLst>
        </c:ser>
        <c:ser>
          <c:idx val="0"/>
          <c:order val="2"/>
          <c:tx>
            <c:strRef>
              <c:f>gwork2!$D$3</c:f>
              <c:strCache>
                <c:ptCount val="1"/>
                <c:pt idx="0">
                  <c:v>回答累積</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val>
            <c:numRef>
              <c:f>gwork2!$D$4:$D$47</c:f>
              <c:numCache>
                <c:formatCode>General</c:formatCode>
                <c:ptCount val="44"/>
              </c:numCache>
            </c:numRef>
          </c:val>
          <c:smooth val="0"/>
          <c:extLst xmlns:c16r2="http://schemas.microsoft.com/office/drawing/2015/06/chart">
            <c:ext xmlns:c16="http://schemas.microsoft.com/office/drawing/2014/chart" uri="{C3380CC4-5D6E-409C-BE32-E72D297353CC}">
              <c16:uniqueId val="{00000002-17ED-4CC9-A44C-FBEC041830CF}"/>
            </c:ext>
          </c:extLst>
        </c:ser>
        <c:dLbls>
          <c:showLegendKey val="0"/>
          <c:showVal val="0"/>
          <c:showCatName val="0"/>
          <c:showSerName val="0"/>
          <c:showPercent val="0"/>
          <c:showBubbleSize val="0"/>
        </c:dLbls>
        <c:marker val="1"/>
        <c:smooth val="0"/>
        <c:axId val="39215104"/>
        <c:axId val="39217408"/>
      </c:lineChart>
      <c:catAx>
        <c:axId val="39215104"/>
        <c:scaling>
          <c:orientation val="minMax"/>
        </c:scaling>
        <c:delete val="0"/>
        <c:axPos val="b"/>
        <c:majorGridlines>
          <c:spPr>
            <a:ln w="3175">
              <a:solidFill>
                <a:srgbClr val="000000"/>
              </a:solidFill>
              <a:prstDash val="sysDash"/>
            </a:ln>
          </c:spPr>
        </c:majorGridlines>
        <c:numFmt formatCode="yy/mm/dd" sourceLinked="0"/>
        <c:majorTickMark val="in"/>
        <c:minorTickMark val="none"/>
        <c:tickLblPos val="nextTo"/>
        <c:spPr>
          <a:ln w="3175">
            <a:solidFill>
              <a:srgbClr val="000000"/>
            </a:solidFill>
            <a:prstDash val="solid"/>
          </a:ln>
        </c:spPr>
        <c:txPr>
          <a:bodyPr rot="-5400000" vert="horz"/>
          <a:lstStyle/>
          <a:p>
            <a:pPr>
              <a:defRPr sz="1075" b="0" i="0" u="none" strike="noStrike" baseline="0">
                <a:solidFill>
                  <a:srgbClr val="000000"/>
                </a:solidFill>
                <a:latin typeface="ＭＳ Ｐゴシック"/>
                <a:ea typeface="ＭＳ Ｐゴシック"/>
                <a:cs typeface="ＭＳ Ｐゴシック"/>
              </a:defRPr>
            </a:pPr>
            <a:endParaRPr lang="ja-JP"/>
          </a:p>
        </c:txPr>
        <c:crossAx val="39217408"/>
        <c:crosses val="autoZero"/>
        <c:auto val="1"/>
        <c:lblAlgn val="ctr"/>
        <c:lblOffset val="100"/>
        <c:tickLblSkip val="1"/>
        <c:tickMarkSkip val="1"/>
        <c:noMultiLvlLbl val="0"/>
      </c:catAx>
      <c:valAx>
        <c:axId val="39217408"/>
        <c:scaling>
          <c:orientation val="minMax"/>
          <c:min val="0"/>
        </c:scaling>
        <c:delete val="0"/>
        <c:axPos val="l"/>
        <c:majorGridlines>
          <c:spPr>
            <a:ln w="3175">
              <a:solidFill>
                <a:srgbClr val="000000"/>
              </a:solidFill>
              <a:prstDash val="sysDash"/>
            </a:ln>
          </c:spPr>
        </c:majorGridlines>
        <c:numFmt formatCode="yy/mm/dd" sourceLinked="1"/>
        <c:majorTickMark val="in"/>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ＭＳ Ｐゴシック"/>
                <a:ea typeface="ＭＳ Ｐゴシック"/>
                <a:cs typeface="ＭＳ Ｐゴシック"/>
              </a:defRPr>
            </a:pPr>
            <a:endParaRPr lang="ja-JP"/>
          </a:p>
        </c:txPr>
        <c:crossAx val="39215104"/>
        <c:crosses val="autoZero"/>
        <c:crossBetween val="midCat"/>
      </c:valAx>
      <c:spPr>
        <a:solidFill>
          <a:srgbClr val="FFFFFF"/>
        </a:solidFill>
        <a:ln w="12700">
          <a:solidFill>
            <a:srgbClr val="808080"/>
          </a:solidFill>
          <a:prstDash val="solid"/>
        </a:ln>
      </c:spPr>
    </c:plotArea>
    <c:legend>
      <c:legendPos val="r"/>
      <c:layout>
        <c:manualLayout>
          <c:xMode val="edge"/>
          <c:yMode val="edge"/>
          <c:x val="0.89222797927461139"/>
          <c:y val="1.9736842105263157E-2"/>
          <c:w val="9.2227979274611405E-2"/>
          <c:h val="8.771929824561403E-2"/>
        </c:manualLayout>
      </c:layout>
      <c:overlay val="1"/>
      <c:spPr>
        <a:solidFill>
          <a:srgbClr val="FFFFFF"/>
        </a:solidFill>
        <a:ln w="3175">
          <a:solidFill>
            <a:srgbClr val="000000"/>
          </a:solidFill>
          <a:prstDash val="solid"/>
        </a:ln>
      </c:spPr>
      <c:txPr>
        <a:bodyPr/>
        <a:lstStyle/>
        <a:p>
          <a:pPr>
            <a:defRPr sz="920"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paperSize="9" orientation="landscape" verticalDpi="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ＭＳ Ｐゴシック"/>
                <a:ea typeface="ＭＳ Ｐゴシック"/>
                <a:cs typeface="ＭＳ Ｐゴシック"/>
              </a:defRPr>
            </a:pPr>
            <a:r>
              <a:rPr lang="ja-JP" altLang="en-US"/>
              <a:t>バグ状況（工程別バグ件数）</a:t>
            </a:r>
          </a:p>
        </c:rich>
      </c:tx>
      <c:layout>
        <c:manualLayout>
          <c:xMode val="edge"/>
          <c:yMode val="edge"/>
          <c:x val="0.3510204081632653"/>
          <c:y val="2.7923211169284468E-2"/>
        </c:manualLayout>
      </c:layout>
      <c:overlay val="0"/>
      <c:spPr>
        <a:noFill/>
        <a:ln w="25400">
          <a:noFill/>
        </a:ln>
      </c:spPr>
    </c:title>
    <c:autoTitleDeleted val="0"/>
    <c:plotArea>
      <c:layout>
        <c:manualLayout>
          <c:layoutTarget val="inner"/>
          <c:xMode val="edge"/>
          <c:yMode val="edge"/>
          <c:x val="5.6122448979591837E-2"/>
          <c:y val="0.14310670113898399"/>
          <c:w val="0.8510204081632653"/>
          <c:h val="0.74694717179859937"/>
        </c:manualLayout>
      </c:layout>
      <c:barChart>
        <c:barDir val="col"/>
        <c:grouping val="clustered"/>
        <c:varyColors val="0"/>
        <c:ser>
          <c:idx val="0"/>
          <c:order val="0"/>
          <c:tx>
            <c:strRef>
              <c:f>qagwork!$A$2</c:f>
              <c:strCache>
                <c:ptCount val="1"/>
                <c:pt idx="0">
                  <c:v>概要設計</c:v>
                </c:pt>
              </c:strCache>
            </c:strRef>
          </c:tx>
          <c:spPr>
            <a:solidFill>
              <a:srgbClr val="9999FF"/>
            </a:solidFill>
            <a:ln w="12700">
              <a:solidFill>
                <a:srgbClr val="000000"/>
              </a:solidFill>
              <a:prstDash val="solid"/>
            </a:ln>
          </c:spPr>
          <c:invertIfNegative val="0"/>
          <c:cat>
            <c:strRef>
              <c:f>qagwork!$B$1:$I$1</c:f>
              <c:strCache>
                <c:ptCount val="8"/>
                <c:pt idx="0">
                  <c:v>概要設計</c:v>
                </c:pt>
                <c:pt idx="1">
                  <c:v>詳細設計</c:v>
                </c:pt>
                <c:pt idx="2">
                  <c:v>製造</c:v>
                </c:pt>
                <c:pt idx="3">
                  <c:v>単体ﾃｽﾄ</c:v>
                </c:pt>
                <c:pt idx="4">
                  <c:v>受入ﾃｽﾄ</c:v>
                </c:pt>
                <c:pt idx="5">
                  <c:v>結合ﾃｽﾄ</c:v>
                </c:pt>
                <c:pt idx="6">
                  <c:v>総合ﾃｽﾄ</c:v>
                </c:pt>
                <c:pt idx="7">
                  <c:v>合計</c:v>
                </c:pt>
              </c:strCache>
            </c:strRef>
          </c:cat>
          <c:val>
            <c:numRef>
              <c:f>qagwork!$B$2:$I$2</c:f>
              <c:numCache>
                <c:formatCode>General</c:formatCode>
                <c:ptCount val="8"/>
                <c:pt idx="7">
                  <c:v>0</c:v>
                </c:pt>
              </c:numCache>
            </c:numRef>
          </c:val>
          <c:extLst xmlns:c16r2="http://schemas.microsoft.com/office/drawing/2015/06/chart">
            <c:ext xmlns:c16="http://schemas.microsoft.com/office/drawing/2014/chart" uri="{C3380CC4-5D6E-409C-BE32-E72D297353CC}">
              <c16:uniqueId val="{00000000-70E4-410B-B014-D694186BDC33}"/>
            </c:ext>
          </c:extLst>
        </c:ser>
        <c:ser>
          <c:idx val="1"/>
          <c:order val="1"/>
          <c:tx>
            <c:strRef>
              <c:f>qagwork!$A$3</c:f>
              <c:strCache>
                <c:ptCount val="1"/>
                <c:pt idx="0">
                  <c:v>詳細設計</c:v>
                </c:pt>
              </c:strCache>
            </c:strRef>
          </c:tx>
          <c:spPr>
            <a:solidFill>
              <a:srgbClr val="993366"/>
            </a:solidFill>
            <a:ln w="12700">
              <a:solidFill>
                <a:srgbClr val="000000"/>
              </a:solidFill>
              <a:prstDash val="solid"/>
            </a:ln>
          </c:spPr>
          <c:invertIfNegative val="0"/>
          <c:cat>
            <c:strRef>
              <c:f>qagwork!$B$1:$I$1</c:f>
              <c:strCache>
                <c:ptCount val="8"/>
                <c:pt idx="0">
                  <c:v>概要設計</c:v>
                </c:pt>
                <c:pt idx="1">
                  <c:v>詳細設計</c:v>
                </c:pt>
                <c:pt idx="2">
                  <c:v>製造</c:v>
                </c:pt>
                <c:pt idx="3">
                  <c:v>単体ﾃｽﾄ</c:v>
                </c:pt>
                <c:pt idx="4">
                  <c:v>受入ﾃｽﾄ</c:v>
                </c:pt>
                <c:pt idx="5">
                  <c:v>結合ﾃｽﾄ</c:v>
                </c:pt>
                <c:pt idx="6">
                  <c:v>総合ﾃｽﾄ</c:v>
                </c:pt>
                <c:pt idx="7">
                  <c:v>合計</c:v>
                </c:pt>
              </c:strCache>
            </c:strRef>
          </c:cat>
          <c:val>
            <c:numRef>
              <c:f>qagwork!$B$3:$I$3</c:f>
              <c:numCache>
                <c:formatCode>General</c:formatCode>
                <c:ptCount val="8"/>
                <c:pt idx="7">
                  <c:v>0</c:v>
                </c:pt>
              </c:numCache>
            </c:numRef>
          </c:val>
          <c:extLst xmlns:c16r2="http://schemas.microsoft.com/office/drawing/2015/06/chart">
            <c:ext xmlns:c16="http://schemas.microsoft.com/office/drawing/2014/chart" uri="{C3380CC4-5D6E-409C-BE32-E72D297353CC}">
              <c16:uniqueId val="{00000001-70E4-410B-B014-D694186BDC33}"/>
            </c:ext>
          </c:extLst>
        </c:ser>
        <c:ser>
          <c:idx val="2"/>
          <c:order val="2"/>
          <c:tx>
            <c:strRef>
              <c:f>qagwork!$A$4</c:f>
              <c:strCache>
                <c:ptCount val="1"/>
                <c:pt idx="0">
                  <c:v>製造</c:v>
                </c:pt>
              </c:strCache>
            </c:strRef>
          </c:tx>
          <c:spPr>
            <a:solidFill>
              <a:srgbClr val="FFFFCC"/>
            </a:solidFill>
            <a:ln w="12700">
              <a:solidFill>
                <a:srgbClr val="000000"/>
              </a:solidFill>
              <a:prstDash val="solid"/>
            </a:ln>
          </c:spPr>
          <c:invertIfNegative val="0"/>
          <c:cat>
            <c:strRef>
              <c:f>qagwork!$B$1:$I$1</c:f>
              <c:strCache>
                <c:ptCount val="8"/>
                <c:pt idx="0">
                  <c:v>概要設計</c:v>
                </c:pt>
                <c:pt idx="1">
                  <c:v>詳細設計</c:v>
                </c:pt>
                <c:pt idx="2">
                  <c:v>製造</c:v>
                </c:pt>
                <c:pt idx="3">
                  <c:v>単体ﾃｽﾄ</c:v>
                </c:pt>
                <c:pt idx="4">
                  <c:v>受入ﾃｽﾄ</c:v>
                </c:pt>
                <c:pt idx="5">
                  <c:v>結合ﾃｽﾄ</c:v>
                </c:pt>
                <c:pt idx="6">
                  <c:v>総合ﾃｽﾄ</c:v>
                </c:pt>
                <c:pt idx="7">
                  <c:v>合計</c:v>
                </c:pt>
              </c:strCache>
            </c:strRef>
          </c:cat>
          <c:val>
            <c:numRef>
              <c:f>qagwork!$B$4:$I$4</c:f>
              <c:numCache>
                <c:formatCode>General</c:formatCode>
                <c:ptCount val="8"/>
                <c:pt idx="7">
                  <c:v>0</c:v>
                </c:pt>
              </c:numCache>
            </c:numRef>
          </c:val>
          <c:extLst xmlns:c16r2="http://schemas.microsoft.com/office/drawing/2015/06/chart">
            <c:ext xmlns:c16="http://schemas.microsoft.com/office/drawing/2014/chart" uri="{C3380CC4-5D6E-409C-BE32-E72D297353CC}">
              <c16:uniqueId val="{00000002-70E4-410B-B014-D694186BDC33}"/>
            </c:ext>
          </c:extLst>
        </c:ser>
        <c:dLbls>
          <c:showLegendKey val="0"/>
          <c:showVal val="0"/>
          <c:showCatName val="0"/>
          <c:showSerName val="0"/>
          <c:showPercent val="0"/>
          <c:showBubbleSize val="0"/>
        </c:dLbls>
        <c:gapWidth val="150"/>
        <c:axId val="167808000"/>
        <c:axId val="169796736"/>
      </c:barChart>
      <c:catAx>
        <c:axId val="167808000"/>
        <c:scaling>
          <c:orientation val="minMax"/>
        </c:scaling>
        <c:delete val="0"/>
        <c:axPos val="b"/>
        <c:majorGridlines>
          <c:spPr>
            <a:ln w="3175">
              <a:solidFill>
                <a:srgbClr val="000000"/>
              </a:solidFill>
              <a:prstDash val="sysDash"/>
            </a:ln>
          </c:spPr>
        </c:majorGridlines>
        <c:title>
          <c:tx>
            <c:rich>
              <a:bodyPr/>
              <a:lstStyle/>
              <a:p>
                <a:pPr>
                  <a:defRPr sz="1000" b="0" i="0" u="none" strike="noStrike" baseline="0">
                    <a:solidFill>
                      <a:srgbClr val="000000"/>
                    </a:solidFill>
                    <a:latin typeface="ＭＳ Ｐゴシック"/>
                    <a:ea typeface="ＭＳ Ｐゴシック"/>
                    <a:cs typeface="ＭＳ Ｐゴシック"/>
                  </a:defRPr>
                </a:pPr>
                <a:r>
                  <a:rPr lang="ja-JP" altLang="en-US"/>
                  <a:t>検出工程</a:t>
                </a:r>
              </a:p>
            </c:rich>
          </c:tx>
          <c:layout>
            <c:manualLayout>
              <c:xMode val="edge"/>
              <c:yMode val="edge"/>
              <c:x val="0.45306122448979591"/>
              <c:y val="0.9389196245757238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ＭＳ Ｐゴシック"/>
                <a:ea typeface="ＭＳ Ｐゴシック"/>
                <a:cs typeface="ＭＳ Ｐゴシック"/>
              </a:defRPr>
            </a:pPr>
            <a:endParaRPr lang="ja-JP"/>
          </a:p>
        </c:txPr>
        <c:crossAx val="169796736"/>
        <c:crosses val="autoZero"/>
        <c:auto val="1"/>
        <c:lblAlgn val="ctr"/>
        <c:lblOffset val="100"/>
        <c:tickLblSkip val="1"/>
        <c:tickMarkSkip val="1"/>
        <c:noMultiLvlLbl val="0"/>
      </c:catAx>
      <c:valAx>
        <c:axId val="169796736"/>
        <c:scaling>
          <c:orientation val="minMax"/>
        </c:scaling>
        <c:delete val="0"/>
        <c:axPos val="l"/>
        <c:majorGridlines>
          <c:spPr>
            <a:ln w="3175">
              <a:solidFill>
                <a:srgbClr val="000000"/>
              </a:solidFill>
              <a:prstDash val="sysDash"/>
            </a:ln>
          </c:spPr>
        </c:majorGridlines>
        <c:title>
          <c:tx>
            <c:rich>
              <a:bodyPr/>
              <a:lstStyle/>
              <a:p>
                <a:pPr>
                  <a:defRPr sz="1000" b="0" i="0" u="none" strike="noStrike" baseline="0">
                    <a:solidFill>
                      <a:srgbClr val="000000"/>
                    </a:solidFill>
                    <a:latin typeface="ＭＳ Ｐゴシック"/>
                    <a:ea typeface="ＭＳ Ｐゴシック"/>
                    <a:cs typeface="ＭＳ Ｐゴシック"/>
                  </a:defRPr>
                </a:pPr>
                <a:r>
                  <a:rPr lang="ja-JP" altLang="en-US"/>
                  <a:t>バグ件数</a:t>
                </a:r>
              </a:p>
            </c:rich>
          </c:tx>
          <c:layout>
            <c:manualLayout>
              <c:xMode val="edge"/>
              <c:yMode val="edge"/>
              <c:x val="1.6326530612244899E-2"/>
              <c:y val="0.4694597206762766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ＭＳ Ｐゴシック"/>
                <a:ea typeface="ＭＳ Ｐゴシック"/>
                <a:cs typeface="ＭＳ Ｐゴシック"/>
              </a:defRPr>
            </a:pPr>
            <a:endParaRPr lang="ja-JP"/>
          </a:p>
        </c:txPr>
        <c:crossAx val="167808000"/>
        <c:crosses val="autoZero"/>
        <c:crossBetween val="between"/>
        <c:majorUnit val="1"/>
      </c:valAx>
      <c:spPr>
        <a:solidFill>
          <a:srgbClr val="FFFFFF"/>
        </a:solidFill>
        <a:ln w="12700">
          <a:solidFill>
            <a:srgbClr val="808080"/>
          </a:solidFill>
          <a:prstDash val="solid"/>
        </a:ln>
      </c:spPr>
    </c:plotArea>
    <c:legend>
      <c:legendPos val="r"/>
      <c:layout>
        <c:manualLayout>
          <c:xMode val="edge"/>
          <c:yMode val="edge"/>
          <c:x val="0.91836734693877553"/>
          <c:y val="0.46771378708551481"/>
          <c:w val="7.3469387755102034E-2"/>
          <c:h val="9.598603839441532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3175">
      <a:solidFill>
        <a:srgbClr val="000000"/>
      </a:solidFill>
      <a:prstDash val="solid"/>
    </a:ln>
  </c:spPr>
  <c:txPr>
    <a:bodyPr/>
    <a:lstStyle/>
    <a:p>
      <a:pPr>
        <a:defRPr sz="18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paperSize="9" orientation="landscape" horizontalDpi="300"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9525</xdr:rowOff>
        </xdr:from>
        <xdr:to>
          <xdr:col>2</xdr:col>
          <xdr:colOff>466725</xdr:colOff>
          <xdr:row>1</xdr:row>
          <xdr:rowOff>9525</xdr:rowOff>
        </xdr:to>
        <xdr:sp macro="" textlink="">
          <xdr:nvSpPr>
            <xdr:cNvPr id="1057" name="Button 33" hidden="1">
              <a:extLst>
                <a:ext uri="{63B3BB69-23CF-44E3-9099-C40C66FF867C}">
                  <a14:compatExt spid="_x0000_s105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終了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485775</xdr:colOff>
          <xdr:row>0</xdr:row>
          <xdr:rowOff>9525</xdr:rowOff>
        </xdr:from>
        <xdr:to>
          <xdr:col>3</xdr:col>
          <xdr:colOff>438150</xdr:colOff>
          <xdr:row>1</xdr:row>
          <xdr:rowOff>9525</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処理選択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0</xdr:row>
          <xdr:rowOff>9525</xdr:rowOff>
        </xdr:from>
        <xdr:to>
          <xdr:col>3</xdr:col>
          <xdr:colOff>1200150</xdr:colOff>
          <xdr:row>1</xdr:row>
          <xdr:rowOff>9525</xdr:rowOff>
        </xdr:to>
        <xdr:sp macro="" textlink="">
          <xdr:nvSpPr>
            <xdr:cNvPr id="1065" name="Button 41" hidden="1">
              <a:extLst>
                <a:ext uri="{63B3BB69-23CF-44E3-9099-C40C66FF867C}">
                  <a14:compatExt spid="_x0000_s1065"/>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フィルタ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1200150</xdr:colOff>
          <xdr:row>0</xdr:row>
          <xdr:rowOff>9525</xdr:rowOff>
        </xdr:from>
        <xdr:to>
          <xdr:col>3</xdr:col>
          <xdr:colOff>2343150</xdr:colOff>
          <xdr:row>1</xdr:row>
          <xdr:rowOff>9525</xdr:rowOff>
        </xdr:to>
        <xdr:sp macro="" textlink="">
          <xdr:nvSpPr>
            <xdr:cNvPr id="1070" name="Button 46" hidden="1">
              <a:extLst>
                <a:ext uri="{63B3BB69-23CF-44E3-9099-C40C66FF867C}">
                  <a14:compatExt spid="_x0000_s107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PJ管理基盤登録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47625</xdr:colOff>
      <xdr:row>0</xdr:row>
      <xdr:rowOff>47625</xdr:rowOff>
    </xdr:from>
    <xdr:to>
      <xdr:col>5</xdr:col>
      <xdr:colOff>419100</xdr:colOff>
      <xdr:row>1</xdr:row>
      <xdr:rowOff>0</xdr:rowOff>
    </xdr:to>
    <xdr:grpSp>
      <xdr:nvGrpSpPr>
        <xdr:cNvPr id="2049" name="Group 20"/>
        <xdr:cNvGrpSpPr>
          <a:grpSpLocks/>
        </xdr:cNvGrpSpPr>
      </xdr:nvGrpSpPr>
      <xdr:grpSpPr bwMode="auto">
        <a:xfrm>
          <a:off x="47625" y="47625"/>
          <a:ext cx="2686050" cy="495300"/>
          <a:chOff x="5" y="5"/>
          <a:chExt cx="282" cy="52"/>
        </a:xfrm>
      </xdr:grpSpPr>
      <xdr:sp macro="" textlink="">
        <xdr:nvSpPr>
          <xdr:cNvPr id="2050" name="テキスト 4"/>
          <xdr:cNvSpPr txBox="1">
            <a:spLocks noChangeArrowheads="1"/>
          </xdr:cNvSpPr>
        </xdr:nvSpPr>
        <xdr:spPr bwMode="auto">
          <a:xfrm>
            <a:off x="5" y="5"/>
            <a:ext cx="282" cy="52"/>
          </a:xfrm>
          <a:prstGeom prst="rect">
            <a:avLst/>
          </a:prstGeom>
          <a:solidFill>
            <a:srgbClr val="C0C0C0"/>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0</xdr:col>
          <xdr:colOff>123825</xdr:colOff>
          <xdr:row>0</xdr:row>
          <xdr:rowOff>95250</xdr:rowOff>
        </xdr:from>
        <xdr:to>
          <xdr:col>2</xdr:col>
          <xdr:colOff>314325</xdr:colOff>
          <xdr:row>0</xdr:row>
          <xdr:rowOff>504825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ゴシック"/>
                  <a:ea typeface="ＭＳ ゴシック"/>
                </a:rPr>
                <a:t>障害一覧</a:t>
              </a:r>
            </a:p>
            <a:p>
              <a:pPr algn="ctr" rtl="0">
                <a:defRPr sz="1000"/>
              </a:pPr>
              <a:r>
                <a:rPr lang="ja-JP" altLang="en-US" sz="1100" b="1" i="0" u="none" strike="noStrike" baseline="0">
                  <a:solidFill>
                    <a:srgbClr val="000080"/>
                  </a:solidFill>
                  <a:latin typeface="ＭＳ ゴシック"/>
                  <a:ea typeface="ＭＳ ゴシック"/>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323850</xdr:colOff>
          <xdr:row>0</xdr:row>
          <xdr:rowOff>95250</xdr:rowOff>
        </xdr:from>
        <xdr:to>
          <xdr:col>3</xdr:col>
          <xdr:colOff>533400</xdr:colOff>
          <xdr:row>0</xdr:row>
          <xdr:rowOff>504825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428625</xdr:colOff>
          <xdr:row>0</xdr:row>
          <xdr:rowOff>95250</xdr:rowOff>
        </xdr:from>
        <xdr:to>
          <xdr:col>5</xdr:col>
          <xdr:colOff>304800</xdr:colOff>
          <xdr:row>0</xdr:row>
          <xdr:rowOff>504825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データ２表示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0</xdr:row>
          <xdr:rowOff>95250</xdr:rowOff>
        </xdr:from>
        <xdr:to>
          <xdr:col>4</xdr:col>
          <xdr:colOff>419100</xdr:colOff>
          <xdr:row>0</xdr:row>
          <xdr:rowOff>504825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グラフ２表示</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28</xdr:row>
      <xdr:rowOff>0</xdr:rowOff>
    </xdr:from>
    <xdr:to>
      <xdr:col>14</xdr:col>
      <xdr:colOff>0</xdr:colOff>
      <xdr:row>51</xdr:row>
      <xdr:rowOff>0</xdr:rowOff>
    </xdr:to>
    <xdr:graphicFrame macro="">
      <xdr:nvGraphicFramePr>
        <xdr:cNvPr id="3073" name="Chart 6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0</xdr:row>
      <xdr:rowOff>47625</xdr:rowOff>
    </xdr:from>
    <xdr:to>
      <xdr:col>4</xdr:col>
      <xdr:colOff>400050</xdr:colOff>
      <xdr:row>2</xdr:row>
      <xdr:rowOff>171450</xdr:rowOff>
    </xdr:to>
    <xdr:grpSp>
      <xdr:nvGrpSpPr>
        <xdr:cNvPr id="3074" name="Group 644"/>
        <xdr:cNvGrpSpPr>
          <a:grpSpLocks/>
        </xdr:cNvGrpSpPr>
      </xdr:nvGrpSpPr>
      <xdr:grpSpPr bwMode="auto">
        <a:xfrm>
          <a:off x="47625" y="47625"/>
          <a:ext cx="2686050" cy="485775"/>
          <a:chOff x="5" y="5"/>
          <a:chExt cx="282" cy="51"/>
        </a:xfrm>
      </xdr:grpSpPr>
      <xdr:sp macro="" textlink="">
        <xdr:nvSpPr>
          <xdr:cNvPr id="3075" name="テキスト 10"/>
          <xdr:cNvSpPr txBox="1">
            <a:spLocks noChangeArrowheads="1"/>
          </xdr:cNvSpPr>
        </xdr:nvSpPr>
        <xdr:spPr bwMode="auto">
          <a:xfrm>
            <a:off x="5" y="5"/>
            <a:ext cx="282" cy="51"/>
          </a:xfrm>
          <a:prstGeom prst="rect">
            <a:avLst/>
          </a:prstGeom>
          <a:solidFill>
            <a:srgbClr val="C0C0C0"/>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0</xdr:col>
          <xdr:colOff>133350</xdr:colOff>
          <xdr:row>0</xdr:row>
          <xdr:rowOff>95250</xdr:rowOff>
        </xdr:from>
        <xdr:to>
          <xdr:col>1</xdr:col>
          <xdr:colOff>638175</xdr:colOff>
          <xdr:row>2</xdr:row>
          <xdr:rowOff>142875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ゴシック"/>
                  <a:ea typeface="ＭＳ ゴシック"/>
                </a:rPr>
                <a:t>障害一覧</a:t>
              </a:r>
            </a:p>
            <a:p>
              <a:pPr algn="ctr" rtl="0">
                <a:defRPr sz="1000"/>
              </a:pPr>
              <a:r>
                <a:rPr lang="ja-JP" altLang="en-US" sz="1100" b="1" i="0" u="none" strike="noStrike" baseline="0">
                  <a:solidFill>
                    <a:srgbClr val="000080"/>
                  </a:solidFill>
                  <a:latin typeface="ＭＳ ゴシック"/>
                  <a:ea typeface="ＭＳ ゴシック"/>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0</xdr:row>
          <xdr:rowOff>95250</xdr:rowOff>
        </xdr:from>
        <xdr:to>
          <xdr:col>4</xdr:col>
          <xdr:colOff>295275</xdr:colOff>
          <xdr:row>2</xdr:row>
          <xdr:rowOff>142875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データ２表示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533400</xdr:colOff>
          <xdr:row>0</xdr:row>
          <xdr:rowOff>95250</xdr:rowOff>
        </xdr:from>
        <xdr:to>
          <xdr:col>3</xdr:col>
          <xdr:colOff>409575</xdr:colOff>
          <xdr:row>2</xdr:row>
          <xdr:rowOff>142875</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グラフ２表示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647700</xdr:colOff>
          <xdr:row>0</xdr:row>
          <xdr:rowOff>95250</xdr:rowOff>
        </xdr:from>
        <xdr:to>
          <xdr:col>2</xdr:col>
          <xdr:colOff>523875</xdr:colOff>
          <xdr:row>2</xdr:row>
          <xdr:rowOff>142875</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データ表示</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47625</xdr:colOff>
      <xdr:row>0</xdr:row>
      <xdr:rowOff>47625</xdr:rowOff>
    </xdr:from>
    <xdr:to>
      <xdr:col>11</xdr:col>
      <xdr:colOff>276225</xdr:colOff>
      <xdr:row>0</xdr:row>
      <xdr:rowOff>533400</xdr:rowOff>
    </xdr:to>
    <xdr:grpSp>
      <xdr:nvGrpSpPr>
        <xdr:cNvPr id="5121" name="Group 33"/>
        <xdr:cNvGrpSpPr>
          <a:grpSpLocks/>
        </xdr:cNvGrpSpPr>
      </xdr:nvGrpSpPr>
      <xdr:grpSpPr bwMode="auto">
        <a:xfrm>
          <a:off x="47625" y="47625"/>
          <a:ext cx="2686050" cy="485775"/>
          <a:chOff x="5" y="5"/>
          <a:chExt cx="282" cy="51"/>
        </a:xfrm>
      </xdr:grpSpPr>
      <xdr:sp macro="" textlink="">
        <xdr:nvSpPr>
          <xdr:cNvPr id="5122" name="テキスト 10"/>
          <xdr:cNvSpPr txBox="1">
            <a:spLocks noChangeArrowheads="1"/>
          </xdr:cNvSpPr>
        </xdr:nvSpPr>
        <xdr:spPr bwMode="auto">
          <a:xfrm>
            <a:off x="5" y="5"/>
            <a:ext cx="282" cy="51"/>
          </a:xfrm>
          <a:prstGeom prst="rect">
            <a:avLst/>
          </a:prstGeom>
          <a:solidFill>
            <a:srgbClr val="C0C0C0"/>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0</xdr:col>
          <xdr:colOff>133350</xdr:colOff>
          <xdr:row>0</xdr:row>
          <xdr:rowOff>95250</xdr:rowOff>
        </xdr:from>
        <xdr:to>
          <xdr:col>8</xdr:col>
          <xdr:colOff>28575</xdr:colOff>
          <xdr:row>0</xdr:row>
          <xdr:rowOff>504825</xdr:rowOff>
        </xdr:to>
        <xdr:sp macro="" textlink="">
          <xdr:nvSpPr>
            <xdr:cNvPr id="5123" name="Button 3" hidden="1">
              <a:extLst>
                <a:ext uri="{63B3BB69-23CF-44E3-9099-C40C66FF867C}">
                  <a14:compatExt spid="_x0000_s5123"/>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ゴシック"/>
                  <a:ea typeface="ＭＳ ゴシック"/>
                </a:rPr>
                <a:t>障害一覧</a:t>
              </a:r>
            </a:p>
            <a:p>
              <a:pPr algn="ctr" rtl="0">
                <a:defRPr sz="1000"/>
              </a:pPr>
              <a:r>
                <a:rPr lang="ja-JP" altLang="en-US" sz="1100" b="1" i="0" u="none" strike="noStrike" baseline="0">
                  <a:solidFill>
                    <a:srgbClr val="000080"/>
                  </a:solidFill>
                  <a:latin typeface="ＭＳ ゴシック"/>
                  <a:ea typeface="ＭＳ ゴシック"/>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495300</xdr:colOff>
          <xdr:row>0</xdr:row>
          <xdr:rowOff>95250</xdr:rowOff>
        </xdr:from>
        <xdr:to>
          <xdr:col>11</xdr:col>
          <xdr:colOff>171450</xdr:colOff>
          <xdr:row>0</xdr:row>
          <xdr:rowOff>504825</xdr:rowOff>
        </xdr:to>
        <xdr:sp macro="" textlink="">
          <xdr:nvSpPr>
            <xdr:cNvPr id="5124" name="Button 4" hidden="1">
              <a:extLst>
                <a:ext uri="{63B3BB69-23CF-44E3-9099-C40C66FF867C}">
                  <a14:compatExt spid="_x0000_s5124"/>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データ２表示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0</xdr:row>
          <xdr:rowOff>95250</xdr:rowOff>
        </xdr:from>
        <xdr:to>
          <xdr:col>9</xdr:col>
          <xdr:colOff>485775</xdr:colOff>
          <xdr:row>0</xdr:row>
          <xdr:rowOff>504825</xdr:rowOff>
        </xdr:to>
        <xdr:sp macro="" textlink="">
          <xdr:nvSpPr>
            <xdr:cNvPr id="5125" name="Button 5" hidden="1">
              <a:extLst>
                <a:ext uri="{63B3BB69-23CF-44E3-9099-C40C66FF867C}">
                  <a14:compatExt spid="_x0000_s5125"/>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グラフ２表示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0</xdr:row>
          <xdr:rowOff>95250</xdr:rowOff>
        </xdr:from>
        <xdr:to>
          <xdr:col>8</xdr:col>
          <xdr:colOff>600075</xdr:colOff>
          <xdr:row>0</xdr:row>
          <xdr:rowOff>504825</xdr:rowOff>
        </xdr:to>
        <xdr:sp macro="" textlink="">
          <xdr:nvSpPr>
            <xdr:cNvPr id="5126" name="Button 6" hidden="1">
              <a:extLst>
                <a:ext uri="{63B3BB69-23CF-44E3-9099-C40C66FF867C}">
                  <a14:compatExt spid="_x0000_s5126"/>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データ表示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4</xdr:row>
      <xdr:rowOff>0</xdr:rowOff>
    </xdr:from>
    <xdr:to>
      <xdr:col>14</xdr:col>
      <xdr:colOff>0</xdr:colOff>
      <xdr:row>28</xdr:row>
      <xdr:rowOff>0</xdr:rowOff>
    </xdr:to>
    <xdr:graphicFrame macro="">
      <xdr:nvGraphicFramePr>
        <xdr:cNvPr id="61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0</xdr:row>
      <xdr:rowOff>47625</xdr:rowOff>
    </xdr:from>
    <xdr:to>
      <xdr:col>4</xdr:col>
      <xdr:colOff>390525</xdr:colOff>
      <xdr:row>2</xdr:row>
      <xdr:rowOff>171450</xdr:rowOff>
    </xdr:to>
    <xdr:grpSp>
      <xdr:nvGrpSpPr>
        <xdr:cNvPr id="6146" name="Group 13"/>
        <xdr:cNvGrpSpPr>
          <a:grpSpLocks/>
        </xdr:cNvGrpSpPr>
      </xdr:nvGrpSpPr>
      <xdr:grpSpPr bwMode="auto">
        <a:xfrm>
          <a:off x="47625" y="47625"/>
          <a:ext cx="2676525" cy="485775"/>
          <a:chOff x="5" y="5"/>
          <a:chExt cx="281" cy="51"/>
        </a:xfrm>
      </xdr:grpSpPr>
      <xdr:sp macro="" textlink="">
        <xdr:nvSpPr>
          <xdr:cNvPr id="6147" name="テキスト 10"/>
          <xdr:cNvSpPr txBox="1">
            <a:spLocks noChangeArrowheads="1"/>
          </xdr:cNvSpPr>
        </xdr:nvSpPr>
        <xdr:spPr bwMode="auto">
          <a:xfrm>
            <a:off x="5" y="5"/>
            <a:ext cx="281" cy="51"/>
          </a:xfrm>
          <a:prstGeom prst="rect">
            <a:avLst/>
          </a:prstGeom>
          <a:solidFill>
            <a:srgbClr val="C0C0C0"/>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0</xdr:col>
          <xdr:colOff>133350</xdr:colOff>
          <xdr:row>0</xdr:row>
          <xdr:rowOff>95250</xdr:rowOff>
        </xdr:from>
        <xdr:to>
          <xdr:col>1</xdr:col>
          <xdr:colOff>638175</xdr:colOff>
          <xdr:row>2</xdr:row>
          <xdr:rowOff>142875</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ゴシック"/>
                  <a:ea typeface="ＭＳ ゴシック"/>
                </a:rPr>
                <a:t>障害一覧</a:t>
              </a:r>
            </a:p>
            <a:p>
              <a:pPr algn="ctr" rtl="0">
                <a:defRPr sz="1000"/>
              </a:pPr>
              <a:r>
                <a:rPr lang="ja-JP" altLang="en-US" sz="1100" b="1" i="0" u="none" strike="noStrike" baseline="0">
                  <a:solidFill>
                    <a:srgbClr val="000080"/>
                  </a:solidFill>
                  <a:latin typeface="ＭＳ ゴシック"/>
                  <a:ea typeface="ＭＳ ゴシック"/>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647700</xdr:colOff>
          <xdr:row>0</xdr:row>
          <xdr:rowOff>95250</xdr:rowOff>
        </xdr:from>
        <xdr:to>
          <xdr:col>2</xdr:col>
          <xdr:colOff>523875</xdr:colOff>
          <xdr:row>2</xdr:row>
          <xdr:rowOff>142875</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533400</xdr:colOff>
          <xdr:row>0</xdr:row>
          <xdr:rowOff>95250</xdr:rowOff>
        </xdr:from>
        <xdr:to>
          <xdr:col>3</xdr:col>
          <xdr:colOff>409575</xdr:colOff>
          <xdr:row>2</xdr:row>
          <xdr:rowOff>142875</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データ表示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0</xdr:row>
          <xdr:rowOff>95250</xdr:rowOff>
        </xdr:from>
        <xdr:to>
          <xdr:col>4</xdr:col>
          <xdr:colOff>295275</xdr:colOff>
          <xdr:row>2</xdr:row>
          <xdr:rowOff>142875</xdr:rowOff>
        </xdr:to>
        <xdr:sp macro="" textlink="">
          <xdr:nvSpPr>
            <xdr:cNvPr id="6151" name="Button 7" hidden="1">
              <a:extLst>
                <a:ext uri="{63B3BB69-23CF-44E3-9099-C40C66FF867C}">
                  <a14:compatExt spid="_x0000_s6151"/>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データ２表示</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47625</xdr:colOff>
      <xdr:row>0</xdr:row>
      <xdr:rowOff>47625</xdr:rowOff>
    </xdr:from>
    <xdr:to>
      <xdr:col>4</xdr:col>
      <xdr:colOff>333375</xdr:colOff>
      <xdr:row>0</xdr:row>
      <xdr:rowOff>533400</xdr:rowOff>
    </xdr:to>
    <xdr:grpSp>
      <xdr:nvGrpSpPr>
        <xdr:cNvPr id="8193" name="Group 11"/>
        <xdr:cNvGrpSpPr>
          <a:grpSpLocks/>
        </xdr:cNvGrpSpPr>
      </xdr:nvGrpSpPr>
      <xdr:grpSpPr bwMode="auto">
        <a:xfrm>
          <a:off x="47625" y="47625"/>
          <a:ext cx="2667000" cy="485775"/>
          <a:chOff x="5" y="5"/>
          <a:chExt cx="280" cy="51"/>
        </a:xfrm>
      </xdr:grpSpPr>
      <xdr:sp macro="" textlink="">
        <xdr:nvSpPr>
          <xdr:cNvPr id="8194" name="テキスト 10"/>
          <xdr:cNvSpPr txBox="1">
            <a:spLocks noChangeArrowheads="1"/>
          </xdr:cNvSpPr>
        </xdr:nvSpPr>
        <xdr:spPr bwMode="auto">
          <a:xfrm>
            <a:off x="5" y="5"/>
            <a:ext cx="280" cy="51"/>
          </a:xfrm>
          <a:prstGeom prst="rect">
            <a:avLst/>
          </a:prstGeom>
          <a:solidFill>
            <a:srgbClr val="C0C0C0"/>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0</xdr:col>
          <xdr:colOff>133350</xdr:colOff>
          <xdr:row>0</xdr:row>
          <xdr:rowOff>95250</xdr:rowOff>
        </xdr:from>
        <xdr:to>
          <xdr:col>1</xdr:col>
          <xdr:colOff>714375</xdr:colOff>
          <xdr:row>0</xdr:row>
          <xdr:rowOff>504825</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ゴシック"/>
                  <a:ea typeface="ＭＳ ゴシック"/>
                </a:rPr>
                <a:t>障害一覧</a:t>
              </a:r>
            </a:p>
            <a:p>
              <a:pPr algn="ctr" rtl="0">
                <a:defRPr sz="1000"/>
              </a:pPr>
              <a:r>
                <a:rPr lang="ja-JP" altLang="en-US" sz="1100" b="1" i="0" u="none" strike="noStrike" baseline="0">
                  <a:solidFill>
                    <a:srgbClr val="000080"/>
                  </a:solidFill>
                  <a:latin typeface="ＭＳ ゴシック"/>
                  <a:ea typeface="ＭＳ ゴシック"/>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0</xdr:row>
          <xdr:rowOff>95250</xdr:rowOff>
        </xdr:from>
        <xdr:to>
          <xdr:col>2</xdr:col>
          <xdr:colOff>476250</xdr:colOff>
          <xdr:row>0</xdr:row>
          <xdr:rowOff>504825</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グラフ表示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95250</xdr:rowOff>
        </xdr:from>
        <xdr:to>
          <xdr:col>3</xdr:col>
          <xdr:colOff>361950</xdr:colOff>
          <xdr:row>0</xdr:row>
          <xdr:rowOff>504825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データ表示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0</xdr:row>
          <xdr:rowOff>95250</xdr:rowOff>
        </xdr:from>
        <xdr:to>
          <xdr:col>4</xdr:col>
          <xdr:colOff>247650</xdr:colOff>
          <xdr:row>0</xdr:row>
          <xdr:rowOff>504825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グラフ２表示</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400050</xdr:colOff>
      <xdr:row>0</xdr:row>
      <xdr:rowOff>504825</xdr:rowOff>
    </xdr:to>
    <xdr:grpSp>
      <xdr:nvGrpSpPr>
        <xdr:cNvPr id="9217" name="Group 11"/>
        <xdr:cNvGrpSpPr>
          <a:grpSpLocks/>
        </xdr:cNvGrpSpPr>
      </xdr:nvGrpSpPr>
      <xdr:grpSpPr bwMode="auto">
        <a:xfrm>
          <a:off x="0" y="0"/>
          <a:ext cx="1514475" cy="504825"/>
          <a:chOff x="0" y="0"/>
          <a:chExt cx="159" cy="53"/>
        </a:xfrm>
      </xdr:grpSpPr>
      <xdr:sp macro="" textlink="">
        <xdr:nvSpPr>
          <xdr:cNvPr id="9218" name="テキスト 10"/>
          <xdr:cNvSpPr txBox="1">
            <a:spLocks noChangeArrowheads="1"/>
          </xdr:cNvSpPr>
        </xdr:nvSpPr>
        <xdr:spPr bwMode="auto">
          <a:xfrm>
            <a:off x="0" y="0"/>
            <a:ext cx="159" cy="53"/>
          </a:xfrm>
          <a:prstGeom prst="rect">
            <a:avLst/>
          </a:prstGeom>
          <a:solidFill>
            <a:srgbClr val="C0C0C0"/>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0</xdr:col>
          <xdr:colOff>85725</xdr:colOff>
          <xdr:row>0</xdr:row>
          <xdr:rowOff>47625</xdr:rowOff>
        </xdr:from>
        <xdr:to>
          <xdr:col>0</xdr:col>
          <xdr:colOff>866775</xdr:colOff>
          <xdr:row>0</xdr:row>
          <xdr:rowOff>457200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ゴシック"/>
                  <a:ea typeface="ＭＳ ゴシック"/>
                </a:rPr>
                <a:t>障害一覧</a:t>
              </a:r>
            </a:p>
            <a:p>
              <a:pPr algn="ctr" rtl="0">
                <a:defRPr sz="1000"/>
              </a:pPr>
              <a:r>
                <a:rPr lang="ja-JP" altLang="en-US" sz="1100" b="1" i="0" u="none" strike="noStrike" baseline="0">
                  <a:solidFill>
                    <a:srgbClr val="000080"/>
                  </a:solidFill>
                  <a:latin typeface="ＭＳ ゴシック"/>
                  <a:ea typeface="ＭＳ ゴシック"/>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876300</xdr:colOff>
          <xdr:row>0</xdr:row>
          <xdr:rowOff>47625</xdr:rowOff>
        </xdr:from>
        <xdr:to>
          <xdr:col>1</xdr:col>
          <xdr:colOff>323850</xdr:colOff>
          <xdr:row>0</xdr:row>
          <xdr:rowOff>457200</xdr:rowOff>
        </xdr:to>
        <xdr:sp macro="" textlink="">
          <xdr:nvSpPr>
            <xdr:cNvPr id="9220" name="Button 4" hidden="1">
              <a:extLst>
                <a:ext uri="{63B3BB69-23CF-44E3-9099-C40C66FF867C}">
                  <a14:compatExt spid="_x0000_s922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グラフ表示</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790575</xdr:colOff>
      <xdr:row>0</xdr:row>
      <xdr:rowOff>504825</xdr:rowOff>
    </xdr:to>
    <xdr:grpSp>
      <xdr:nvGrpSpPr>
        <xdr:cNvPr id="10241" name="Group 29"/>
        <xdr:cNvGrpSpPr>
          <a:grpSpLocks/>
        </xdr:cNvGrpSpPr>
      </xdr:nvGrpSpPr>
      <xdr:grpSpPr bwMode="auto">
        <a:xfrm>
          <a:off x="0" y="0"/>
          <a:ext cx="1514475" cy="504825"/>
          <a:chOff x="0" y="0"/>
          <a:chExt cx="159" cy="53"/>
        </a:xfrm>
      </xdr:grpSpPr>
      <xdr:sp macro="" textlink="">
        <xdr:nvSpPr>
          <xdr:cNvPr id="10242" name="テキスト 10"/>
          <xdr:cNvSpPr txBox="1">
            <a:spLocks noChangeArrowheads="1"/>
          </xdr:cNvSpPr>
        </xdr:nvSpPr>
        <xdr:spPr bwMode="auto">
          <a:xfrm>
            <a:off x="0" y="0"/>
            <a:ext cx="159" cy="53"/>
          </a:xfrm>
          <a:prstGeom prst="rect">
            <a:avLst/>
          </a:prstGeom>
          <a:solidFill>
            <a:srgbClr val="C0C0C0"/>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0</xdr:col>
          <xdr:colOff>85725</xdr:colOff>
          <xdr:row>0</xdr:row>
          <xdr:rowOff>47625</xdr:rowOff>
        </xdr:from>
        <xdr:to>
          <xdr:col>1</xdr:col>
          <xdr:colOff>142875</xdr:colOff>
          <xdr:row>0</xdr:row>
          <xdr:rowOff>457200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ゴシック"/>
                  <a:ea typeface="ＭＳ ゴシック"/>
                </a:rPr>
                <a:t>障害一覧</a:t>
              </a:r>
            </a:p>
            <a:p>
              <a:pPr algn="ctr" rtl="0">
                <a:defRPr sz="1000"/>
              </a:pPr>
              <a:r>
                <a:rPr lang="ja-JP" altLang="en-US" sz="1100" b="1" i="0" u="none" strike="noStrike" baseline="0">
                  <a:solidFill>
                    <a:srgbClr val="000080"/>
                  </a:solidFill>
                  <a:latin typeface="ＭＳ ゴシック"/>
                  <a:ea typeface="ＭＳ ゴシック"/>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0</xdr:row>
          <xdr:rowOff>47625</xdr:rowOff>
        </xdr:from>
        <xdr:to>
          <xdr:col>1</xdr:col>
          <xdr:colOff>714375</xdr:colOff>
          <xdr:row>0</xdr:row>
          <xdr:rowOff>457200</xdr:rowOff>
        </xdr:to>
        <xdr:sp macro="" textlink="">
          <xdr:nvSpPr>
            <xdr:cNvPr id="10244" name="Button 4" hidden="1">
              <a:extLst>
                <a:ext uri="{63B3BB69-23CF-44E3-9099-C40C66FF867C}">
                  <a14:compatExt spid="_x0000_s10244"/>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グラフ表示</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419100</xdr:colOff>
      <xdr:row>30</xdr:row>
      <xdr:rowOff>28575</xdr:rowOff>
    </xdr:to>
    <xdr:graphicFrame macro="">
      <xdr:nvGraphicFramePr>
        <xdr:cNvPr id="11265" name="QAGRAPH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12</xdr:col>
      <xdr:colOff>342900</xdr:colOff>
      <xdr:row>11</xdr:row>
      <xdr:rowOff>123825</xdr:rowOff>
    </xdr:from>
    <xdr:to>
      <xdr:col>13</xdr:col>
      <xdr:colOff>314325</xdr:colOff>
      <xdr:row>12</xdr:row>
      <xdr:rowOff>142875</xdr:rowOff>
    </xdr:to>
    <xdr:sp macro="" textlink="">
      <xdr:nvSpPr>
        <xdr:cNvPr id="7178" name="Text Box 3"/>
        <xdr:cNvSpPr txBox="1">
          <a:spLocks noChangeArrowheads="1"/>
        </xdr:cNvSpPr>
      </xdr:nvSpPr>
      <xdr:spPr bwMode="auto">
        <a:xfrm>
          <a:off x="8572500" y="2114550"/>
          <a:ext cx="657225" cy="200025"/>
        </a:xfrm>
        <a:prstGeom prst="rect">
          <a:avLst/>
        </a:prstGeom>
        <a:solidFill>
          <a:srgbClr val="FFFFFF">
            <a:alpha val="50000"/>
          </a:srgbClr>
        </a:solidFill>
        <a:ln w="317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原因工程</a:t>
          </a:r>
        </a:p>
      </xdr:txBody>
    </xdr:sp>
    <xdr:clientData/>
  </xdr:twoCellAnchor>
  <xdr:twoCellAnchor>
    <xdr:from>
      <xdr:col>0</xdr:col>
      <xdr:colOff>38100</xdr:colOff>
      <xdr:row>0</xdr:row>
      <xdr:rowOff>38100</xdr:rowOff>
    </xdr:from>
    <xdr:to>
      <xdr:col>2</xdr:col>
      <xdr:colOff>180975</xdr:colOff>
      <xdr:row>3</xdr:row>
      <xdr:rowOff>0</xdr:rowOff>
    </xdr:to>
    <xdr:grpSp>
      <xdr:nvGrpSpPr>
        <xdr:cNvPr id="11267" name="Group 13"/>
        <xdr:cNvGrpSpPr>
          <a:grpSpLocks/>
        </xdr:cNvGrpSpPr>
      </xdr:nvGrpSpPr>
      <xdr:grpSpPr bwMode="auto">
        <a:xfrm>
          <a:off x="38100" y="38100"/>
          <a:ext cx="1514475" cy="504825"/>
          <a:chOff x="4" y="4"/>
          <a:chExt cx="159" cy="53"/>
        </a:xfrm>
      </xdr:grpSpPr>
      <xdr:sp macro="" textlink="">
        <xdr:nvSpPr>
          <xdr:cNvPr id="11268" name="テキスト 10"/>
          <xdr:cNvSpPr txBox="1">
            <a:spLocks noChangeArrowheads="1"/>
          </xdr:cNvSpPr>
        </xdr:nvSpPr>
        <xdr:spPr bwMode="auto">
          <a:xfrm>
            <a:off x="4" y="4"/>
            <a:ext cx="159" cy="53"/>
          </a:xfrm>
          <a:prstGeom prst="rect">
            <a:avLst/>
          </a:prstGeom>
          <a:solidFill>
            <a:srgbClr val="C0C0C0"/>
          </a:solidFill>
          <a:ln w="9525">
            <a:solidFill>
              <a:srgbClr val="000000"/>
            </a:solidFill>
            <a:miter lim="800000"/>
            <a:headEnd/>
            <a:tailEnd/>
          </a:ln>
        </xdr:spPr>
      </xdr:sp>
    </xdr:grpSp>
    <xdr:clientData/>
  </xdr:twoCellAnchor>
  <mc:AlternateContent xmlns:mc="http://schemas.openxmlformats.org/markup-compatibility/2006">
    <mc:Choice xmlns:a14="http://schemas.microsoft.com/office/drawing/2010/main" Requires="a14">
      <xdr:twoCellAnchor>
        <xdr:from>
          <xdr:col>0</xdr:col>
          <xdr:colOff>123825</xdr:colOff>
          <xdr:row>0</xdr:row>
          <xdr:rowOff>85725</xdr:rowOff>
        </xdr:from>
        <xdr:to>
          <xdr:col>1</xdr:col>
          <xdr:colOff>219075</xdr:colOff>
          <xdr:row>2</xdr:row>
          <xdr:rowOff>133350</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ゴシック"/>
                  <a:ea typeface="ＭＳ ゴシック"/>
                </a:rPr>
                <a:t>障害一覧</a:t>
              </a:r>
            </a:p>
            <a:p>
              <a:pPr algn="ctr" rtl="0">
                <a:defRPr sz="1000"/>
              </a:pPr>
              <a:r>
                <a:rPr lang="ja-JP" altLang="en-US" sz="1100" b="1" i="0" u="none" strike="noStrike" baseline="0">
                  <a:solidFill>
                    <a:srgbClr val="000080"/>
                  </a:solidFill>
                  <a:latin typeface="ＭＳ ゴシック"/>
                  <a:ea typeface="ＭＳ ゴシック"/>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228600</xdr:colOff>
          <xdr:row>0</xdr:row>
          <xdr:rowOff>85725</xdr:rowOff>
        </xdr:from>
        <xdr:to>
          <xdr:col>2</xdr:col>
          <xdr:colOff>104775</xdr:colOff>
          <xdr:row>2</xdr:row>
          <xdr:rowOff>133350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ゴシック"/>
                  <a:ea typeface="ＭＳ ゴシック"/>
                </a:rPr>
                <a:t>データ表示</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absolute">
    <xdr:from>
      <xdr:col>0</xdr:col>
      <xdr:colOff>66675</xdr:colOff>
      <xdr:row>10</xdr:row>
      <xdr:rowOff>47625</xdr:rowOff>
    </xdr:from>
    <xdr:to>
      <xdr:col>0</xdr:col>
      <xdr:colOff>647700</xdr:colOff>
      <xdr:row>12</xdr:row>
      <xdr:rowOff>85804</xdr:rowOff>
    </xdr:to>
    <xdr:sp macro="[0]!EnvConfirm" textlink="">
      <xdr:nvSpPr>
        <xdr:cNvPr id="6145" name="AutoShape 1"/>
        <xdr:cNvSpPr>
          <a:spLocks noChangeArrowheads="1"/>
        </xdr:cNvSpPr>
      </xdr:nvSpPr>
      <xdr:spPr bwMode="auto">
        <a:xfrm>
          <a:off x="66675" y="1924050"/>
          <a:ext cx="581025" cy="400050"/>
        </a:xfrm>
        <a:prstGeom prst="bevel">
          <a:avLst>
            <a:gd name="adj" fmla="val 12500"/>
          </a:avLst>
        </a:prstGeom>
        <a:solidFill>
          <a:srgbClr val="FF8080"/>
        </a:solidFill>
        <a:ln w="3175">
          <a:solidFill>
            <a:srgbClr val="000000"/>
          </a:solidFill>
          <a:miter lim="800000"/>
          <a:headEnd/>
          <a:tailEnd/>
        </a:ln>
      </xdr:spPr>
      <xdr:txBody>
        <a:bodyPr vertOverflow="clip" wrap="square" lIns="36576" tIns="18288" rIns="36576" bIns="18288" anchor="ctr" upright="1"/>
        <a:lstStyle/>
        <a:p>
          <a:pPr algn="ctr" rtl="0">
            <a:defRPr sz="1000"/>
          </a:pPr>
          <a:r>
            <a:rPr lang="ja-JP" altLang="en-US" sz="1100" b="1" i="0" strike="noStrike">
              <a:solidFill>
                <a:srgbClr val="000000"/>
              </a:solidFill>
              <a:latin typeface="ＭＳ ゴシック"/>
              <a:ea typeface="ＭＳ ゴシック"/>
            </a:rPr>
            <a:t>設定</a:t>
          </a:r>
        </a:p>
      </xdr:txBody>
    </xdr:sp>
    <xdr:clientData fPrintsWithSheet="0"/>
  </xdr:twoCellAnchor>
  <xdr:twoCellAnchor editAs="absolute">
    <xdr:from>
      <xdr:col>0</xdr:col>
      <xdr:colOff>66675</xdr:colOff>
      <xdr:row>13</xdr:row>
      <xdr:rowOff>161925</xdr:rowOff>
    </xdr:from>
    <xdr:to>
      <xdr:col>0</xdr:col>
      <xdr:colOff>647700</xdr:colOff>
      <xdr:row>16</xdr:row>
      <xdr:rowOff>19050</xdr:rowOff>
    </xdr:to>
    <xdr:sp macro="[0]!ToEntry2" textlink="">
      <xdr:nvSpPr>
        <xdr:cNvPr id="6146" name="AutoShape 2"/>
        <xdr:cNvSpPr>
          <a:spLocks noChangeArrowheads="1"/>
        </xdr:cNvSpPr>
      </xdr:nvSpPr>
      <xdr:spPr bwMode="auto">
        <a:xfrm>
          <a:off x="66675" y="2581275"/>
          <a:ext cx="581025" cy="400050"/>
        </a:xfrm>
        <a:prstGeom prst="bevel">
          <a:avLst>
            <a:gd name="adj" fmla="val 12500"/>
          </a:avLst>
        </a:prstGeom>
        <a:solidFill>
          <a:srgbClr val="33CCCC"/>
        </a:solidFill>
        <a:ln w="3175">
          <a:solidFill>
            <a:srgbClr val="000000"/>
          </a:solidFill>
          <a:miter lim="800000"/>
          <a:headEnd/>
          <a:tailEnd/>
        </a:ln>
      </xdr:spPr>
      <xdr:txBody>
        <a:bodyPr vertOverflow="clip" wrap="square" lIns="36576" tIns="18288" rIns="36576" bIns="18288" anchor="ctr" upright="1"/>
        <a:lstStyle/>
        <a:p>
          <a:pPr algn="ctr" rtl="0">
            <a:defRPr sz="1000"/>
          </a:pPr>
          <a:r>
            <a:rPr lang="ja-JP" altLang="en-US" sz="1100" b="1" i="0" strike="noStrike">
              <a:solidFill>
                <a:srgbClr val="000000"/>
              </a:solidFill>
              <a:latin typeface="ＭＳ ゴシック"/>
              <a:ea typeface="ＭＳ ゴシック"/>
            </a:rPr>
            <a:t>戻る</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57150</xdr:colOff>
      <xdr:row>7</xdr:row>
      <xdr:rowOff>80962</xdr:rowOff>
    </xdr:from>
    <xdr:to>
      <xdr:col>0</xdr:col>
      <xdr:colOff>638175</xdr:colOff>
      <xdr:row>9</xdr:row>
      <xdr:rowOff>116681</xdr:rowOff>
    </xdr:to>
    <xdr:sp macro="[0]!ToEntry3" textlink="">
      <xdr:nvSpPr>
        <xdr:cNvPr id="6146" name="AutoShape 2"/>
        <xdr:cNvSpPr>
          <a:spLocks noChangeArrowheads="1"/>
        </xdr:cNvSpPr>
      </xdr:nvSpPr>
      <xdr:spPr bwMode="auto">
        <a:xfrm>
          <a:off x="66675" y="2581275"/>
          <a:ext cx="581025" cy="400050"/>
        </a:xfrm>
        <a:prstGeom prst="bevel">
          <a:avLst>
            <a:gd name="adj" fmla="val 12500"/>
          </a:avLst>
        </a:prstGeom>
        <a:solidFill>
          <a:srgbClr val="33CCCC"/>
        </a:solidFill>
        <a:ln w="3175">
          <a:solidFill>
            <a:srgbClr val="000000"/>
          </a:solidFill>
          <a:miter lim="800000"/>
          <a:headEnd/>
          <a:tailEnd/>
        </a:ln>
      </xdr:spPr>
      <xdr:txBody>
        <a:bodyPr vertOverflow="clip" wrap="square" lIns="36576" tIns="18288" rIns="36576" bIns="18288" anchor="ctr" upright="1"/>
        <a:lstStyle/>
        <a:p>
          <a:pPr algn="ctr" rtl="0">
            <a:defRPr sz="1000"/>
          </a:pPr>
          <a:r>
            <a:rPr lang="ja-JP" altLang="en-US" sz="1100" b="1" i="0" strike="noStrike">
              <a:solidFill>
                <a:srgbClr val="000000"/>
              </a:solidFill>
              <a:latin typeface="ＭＳ ゴシック"/>
              <a:ea typeface="ＭＳ ゴシック"/>
            </a:rPr>
            <a:t>戻る</a:t>
          </a:r>
        </a:p>
      </xdr:txBody>
    </xdr:sp>
    <xdr:clientData fPrintsWithSheet="0"/>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Documents%20and%20Settings/1134140013650/&#12487;&#12473;&#12463;&#12488;&#12483;&#12503;/ICF_Autocapsule_disabled/before_&#38556;&#23475;.XLS"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Documents%20and%20Settings/1134140013650/&#12487;&#12473;&#12463;&#12488;&#12483;&#12503;/ICF_Autocapsule_disabled/before_&#38556;&#23475;.XLS"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Kyoichi Tatsuoka" refreshedDate="38730.554712731479" createdVersion="1" refreshedVersion="2" recordCount="5" upgradeOnRefresh="1">
  <cacheSource type="worksheet">
    <worksheetSource ref="B3:AS3" sheet="edata" r:id="rId2"/>
  </cacheSource>
  <cacheFields count="44">
    <cacheField name="完了" numFmtId="0">
      <sharedItems count="2">
        <s v="●"/>
        <s v=""/>
      </sharedItems>
    </cacheField>
    <cacheField name="障害番号" numFmtId="0">
      <sharedItems containsSemiMixedTypes="0" containsString="0" containsNumber="1" containsInteger="1" minValue="1" maxValue="5" count="5">
        <n v="1"/>
        <n v="2"/>
        <n v="3"/>
        <n v="4"/>
        <n v="5"/>
      </sharedItems>
    </cacheField>
    <cacheField name="障害状況(操作・現象)" numFmtId="0">
      <sharedItems count="5">
        <s v="aaa"/>
        <s v="BBB"/>
        <s v="列を自由に入れ替えたいな"/>
        <s v="列を自由に入れ替えたいなあ"/>
        <s v="電源を入れたら火が出た"/>
      </sharedItems>
    </cacheField>
    <cacheField name="検出時工程" numFmtId="0">
      <sharedItems count="2">
        <s v="結合ﾃｽﾄ"/>
        <s v="総合ﾃｽﾄ"/>
      </sharedItems>
    </cacheField>
    <cacheField name="検出時機能_x000a_システム名" numFmtId="0">
      <sharedItems count="5">
        <s v="検出時ｼｽﾃﾑ1"/>
        <s v="検出時ｼｽﾃﾑ2"/>
        <s v="検出時ｼｽﾃﾑ3"/>
        <s v="検出時ｼｽﾃﾑ4"/>
        <s v="検出時ｼｽﾃﾑ5"/>
      </sharedItems>
    </cacheField>
    <cacheField name="検出時機能_x000a_機能名" numFmtId="0">
      <sharedItems containsBlank="1" count="3">
        <s v="検出時機能1"/>
        <m/>
        <s v="検出時機能2"/>
      </sharedItems>
    </cacheField>
    <cacheField name="検出時機能_x000a_ﾌﾟﾛｸﾞﾗﾑ名" numFmtId="0">
      <sharedItems containsString="0" containsBlank="1" count="1">
        <m/>
      </sharedItems>
    </cacheField>
    <cacheField name="検出日" numFmtId="0">
      <sharedItems containsSemiMixedTypes="0" containsNonDate="0" containsDate="1" containsString="0" minDate="2005-12-11T00:00:00" maxDate="2005-12-26T00:00:00" count="3">
        <d v="2005-12-11T00:00:00"/>
        <d v="2005-12-21T00:00:00"/>
        <d v="2005-12-25T00:00:00"/>
      </sharedItems>
    </cacheField>
    <cacheField name="検出者名" numFmtId="0">
      <sharedItems count="1">
        <s v="KT"/>
      </sharedItems>
    </cacheField>
    <cacheField name="回答日" numFmtId="0">
      <sharedItems containsDate="1" containsString="0" containsBlank="1" minDate="2005-12-15T00:00:00" maxDate="2005-12-27T00:00:00" count="3">
        <d v="2005-12-15T00:00:00"/>
        <m/>
        <d v="2005-12-26T00:00:00"/>
      </sharedItems>
    </cacheField>
    <cacheField name="回答者名" numFmtId="0">
      <sharedItems containsBlank="1" count="2">
        <s v="AT"/>
        <m/>
      </sharedItems>
    </cacheField>
    <cacheField name="バグ_x000a_区分" numFmtId="0">
      <sharedItems count="1">
        <s v="バグ"/>
      </sharedItems>
    </cacheField>
    <cacheField name="検出手段" numFmtId="0">
      <sharedItems containsBlank="1" count="2">
        <s v="テスト"/>
        <m/>
      </sharedItems>
    </cacheField>
    <cacheField name="障害区分" numFmtId="0">
      <sharedItems containsString="0" containsBlank="1" count="1">
        <m/>
      </sharedItems>
    </cacheField>
    <cacheField name="再現性" numFmtId="0">
      <sharedItems containsString="0" containsBlank="1" count="1">
        <m/>
      </sharedItems>
    </cacheField>
    <cacheField name="回避策" numFmtId="0">
      <sharedItems containsString="0" containsBlank="1" count="1">
        <m/>
      </sharedItems>
    </cacheField>
    <cacheField name="影響度" numFmtId="0">
      <sharedItems containsString="0" containsBlank="1" count="1">
        <m/>
      </sharedItems>
    </cacheField>
    <cacheField name="同一障害番号" numFmtId="0">
      <sharedItems containsString="0" containsBlank="1" count="1">
        <m/>
      </sharedItems>
    </cacheField>
    <cacheField name="発生条件・原因" numFmtId="0">
      <sharedItems containsString="0" containsBlank="1" count="1">
        <m/>
      </sharedItems>
    </cacheField>
    <cacheField name="原因区分" numFmtId="0">
      <sharedItems containsBlank="1" count="2">
        <s v="設計漏れ"/>
        <m/>
      </sharedItems>
    </cacheField>
    <cacheField name="原因工程" numFmtId="0">
      <sharedItems containsBlank="1" count="4">
        <s v="詳細設計"/>
        <s v="製造"/>
        <s v="基本・機能設計"/>
        <m/>
      </sharedItems>
    </cacheField>
    <cacheField name="不良物件名" numFmtId="0">
      <sharedItems containsString="0" containsBlank="1" count="1">
        <m/>
      </sharedItems>
    </cacheField>
    <cacheField name="ステータス" numFmtId="0">
      <sharedItems containsBlank="1" count="2">
        <s v="リリース準備中"/>
        <m/>
      </sharedItems>
    </cacheField>
    <cacheField name="障害種別" numFmtId="0">
      <sharedItems containsString="0" containsBlank="1" count="1">
        <m/>
      </sharedItems>
    </cacheField>
    <cacheField name="処置" numFmtId="0">
      <sharedItems containsString="0" containsBlank="1" count="1">
        <m/>
      </sharedItems>
    </cacheField>
    <cacheField name="処置種別" numFmtId="0">
      <sharedItems containsString="0" containsBlank="1" count="1">
        <m/>
      </sharedItems>
    </cacheField>
    <cacheField name="修正日" numFmtId="0">
      <sharedItems containsString="0" containsBlank="1" count="1">
        <m/>
      </sharedItems>
    </cacheField>
    <cacheField name="検証予定日" numFmtId="0">
      <sharedItems containsString="0" containsBlank="1" count="1">
        <m/>
      </sharedItems>
    </cacheField>
    <cacheField name="検証実施日" numFmtId="0">
      <sharedItems containsString="0" containsBlank="1" count="1">
        <m/>
      </sharedItems>
    </cacheField>
    <cacheField name="ﾘﾘｰｽ_x000a_ﾊﾞｰｼﾞｮﾝ" numFmtId="0">
      <sharedItems containsString="0" containsBlank="1" count="1">
        <m/>
      </sharedItems>
    </cacheField>
    <cacheField name="回答(ﾘﾘｰｽ)予定日" numFmtId="0">
      <sharedItems containsString="0" containsBlank="1" count="1">
        <m/>
      </sharedItems>
    </cacheField>
    <cacheField name="リリース日" numFmtId="0">
      <sharedItems containsString="0" containsBlank="1" count="1">
        <m/>
      </sharedItems>
    </cacheField>
    <cacheField name="管理者確認日" numFmtId="0">
      <sharedItems containsString="0" containsBlank="1" count="1">
        <m/>
      </sharedItems>
    </cacheField>
    <cacheField name="現担当者名" numFmtId="0">
      <sharedItems containsString="0" containsBlank="1" count="1">
        <m/>
      </sharedItems>
    </cacheField>
    <cacheField name="原因システム名" numFmtId="0">
      <sharedItems containsString="0" containsBlank="1" count="1">
        <m/>
      </sharedItems>
    </cacheField>
    <cacheField name="原因機能名" numFmtId="0">
      <sharedItems containsString="0" containsBlank="1" count="1">
        <m/>
      </sharedItems>
    </cacheField>
    <cacheField name="検出者_x000a_所属" numFmtId="0">
      <sharedItems containsString="0" containsBlank="1" count="1">
        <m/>
      </sharedItems>
    </cacheField>
    <cacheField name="重大バグ" numFmtId="0">
      <sharedItems containsString="0" containsBlank="1" count="1">
        <m/>
      </sharedItems>
    </cacheField>
    <cacheField name="担当Ｇ" numFmtId="0">
      <sharedItems containsString="0" containsBlank="1" count="1">
        <m/>
      </sharedItems>
    </cacheField>
    <cacheField name="品質記録番号" numFmtId="0">
      <sharedItems containsString="0" containsBlank="1" count="1">
        <m/>
      </sharedItems>
    </cacheField>
    <cacheField name="調査回答工数" numFmtId="0">
      <sharedItems containsSemiMixedTypes="0" containsString="0" containsNumber="1" containsInteger="1" minValue="0" maxValue="3" count="2">
        <n v="3"/>
        <n v="0"/>
      </sharedItems>
    </cacheField>
    <cacheField name="調査工数" numFmtId="0">
      <sharedItems containsString="0" containsBlank="1" containsNumber="1" containsInteger="1" minValue="2" maxValue="2" count="2">
        <n v="2"/>
        <m/>
      </sharedItems>
    </cacheField>
    <cacheField name="処置工数" numFmtId="0">
      <sharedItems containsString="0" containsBlank="1" containsNumber="1" containsInteger="1" minValue="1" maxValue="1" count="2">
        <n v="1"/>
        <m/>
      </sharedItems>
    </cacheField>
    <cacheField name="件数" numFmtId="0">
      <sharedItems containsSemiMixedTypes="0" containsString="0" containsNumber="1" containsInteger="1" minValue="1" maxValue="4" count="4">
        <n v="1"/>
        <n v="2"/>
        <n v="3"/>
        <n v="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Kyoichi Tatsuoka" refreshedDate="38730.554710416669" createdVersion="1" refreshedVersion="2" recordCount="5" upgradeOnRefresh="1">
  <cacheSource type="worksheet">
    <worksheetSource ref="B3:AS3" sheet="edata" r:id="rId2"/>
  </cacheSource>
  <cacheFields count="44">
    <cacheField name="完了" numFmtId="0">
      <sharedItems count="2">
        <s v="●"/>
        <s v=""/>
      </sharedItems>
    </cacheField>
    <cacheField name="障害番号" numFmtId="0">
      <sharedItems containsSemiMixedTypes="0" containsString="0" containsNumber="1" containsInteger="1" minValue="1" maxValue="5" count="5">
        <n v="1"/>
        <n v="2"/>
        <n v="3"/>
        <n v="4"/>
        <n v="5"/>
      </sharedItems>
    </cacheField>
    <cacheField name="障害状況(操作・現象)" numFmtId="0">
      <sharedItems count="5">
        <s v="aaa"/>
        <s v="BBB"/>
        <s v="列を自由に入れ替えたいな"/>
        <s v="列を自由に入れ替えたいなあ"/>
        <s v="電源を入れたら火が出た"/>
      </sharedItems>
    </cacheField>
    <cacheField name="検出時工程" numFmtId="0">
      <sharedItems count="2">
        <s v="結合ﾃｽﾄ"/>
        <s v="総合ﾃｽﾄ"/>
      </sharedItems>
    </cacheField>
    <cacheField name="検出時機能_x000a_システム名" numFmtId="0">
      <sharedItems count="5">
        <s v="検出時ｼｽﾃﾑ1"/>
        <s v="検出時ｼｽﾃﾑ2"/>
        <s v="検出時ｼｽﾃﾑ3"/>
        <s v="検出時ｼｽﾃﾑ4"/>
        <s v="検出時ｼｽﾃﾑ5"/>
      </sharedItems>
    </cacheField>
    <cacheField name="検出時機能_x000a_機能名" numFmtId="0">
      <sharedItems containsBlank="1" count="3">
        <s v="検出時機能1"/>
        <m/>
        <s v="検出時機能2"/>
      </sharedItems>
    </cacheField>
    <cacheField name="検出時機能_x000a_ﾌﾟﾛｸﾞﾗﾑ名" numFmtId="0">
      <sharedItems containsString="0" containsBlank="1" count="1">
        <m/>
      </sharedItems>
    </cacheField>
    <cacheField name="検出日" numFmtId="0">
      <sharedItems containsSemiMixedTypes="0" containsNonDate="0" containsDate="1" containsString="0" minDate="2005-12-11T00:00:00" maxDate="2005-12-26T00:00:00" count="3">
        <d v="2005-12-11T00:00:00"/>
        <d v="2005-12-21T00:00:00"/>
        <d v="2005-12-25T00:00:00"/>
      </sharedItems>
    </cacheField>
    <cacheField name="検出者名" numFmtId="0">
      <sharedItems count="1">
        <s v="KT"/>
      </sharedItems>
    </cacheField>
    <cacheField name="回答日" numFmtId="0">
      <sharedItems containsDate="1" containsString="0" containsBlank="1" minDate="2005-12-15T00:00:00" maxDate="2005-12-27T00:00:00" count="3">
        <d v="2005-12-15T00:00:00"/>
        <m/>
        <d v="2005-12-26T00:00:00"/>
      </sharedItems>
    </cacheField>
    <cacheField name="回答者名" numFmtId="0">
      <sharedItems containsBlank="1" count="2">
        <s v="AT"/>
        <m/>
      </sharedItems>
    </cacheField>
    <cacheField name="バグ_x000a_区分" numFmtId="0">
      <sharedItems count="1">
        <s v="バグ"/>
      </sharedItems>
    </cacheField>
    <cacheField name="検出手段" numFmtId="0">
      <sharedItems containsBlank="1" count="2">
        <s v="テスト"/>
        <m/>
      </sharedItems>
    </cacheField>
    <cacheField name="障害区分" numFmtId="0">
      <sharedItems containsString="0" containsBlank="1" count="1">
        <m/>
      </sharedItems>
    </cacheField>
    <cacheField name="再現性" numFmtId="0">
      <sharedItems containsString="0" containsBlank="1" count="1">
        <m/>
      </sharedItems>
    </cacheField>
    <cacheField name="回避策" numFmtId="0">
      <sharedItems containsString="0" containsBlank="1" count="1">
        <m/>
      </sharedItems>
    </cacheField>
    <cacheField name="影響度" numFmtId="0">
      <sharedItems containsString="0" containsBlank="1" count="1">
        <m/>
      </sharedItems>
    </cacheField>
    <cacheField name="同一障害番号" numFmtId="0">
      <sharedItems containsString="0" containsBlank="1" count="1">
        <m/>
      </sharedItems>
    </cacheField>
    <cacheField name="発生条件・原因" numFmtId="0">
      <sharedItems containsString="0" containsBlank="1" count="1">
        <m/>
      </sharedItems>
    </cacheField>
    <cacheField name="原因区分" numFmtId="0">
      <sharedItems containsBlank="1" count="2">
        <s v="設計漏れ"/>
        <m/>
      </sharedItems>
    </cacheField>
    <cacheField name="原因工程" numFmtId="0">
      <sharedItems containsBlank="1" count="4">
        <s v="詳細設計"/>
        <s v="製造"/>
        <s v="基本・機能設計"/>
        <m/>
      </sharedItems>
    </cacheField>
    <cacheField name="不良物件名" numFmtId="0">
      <sharedItems containsString="0" containsBlank="1" count="1">
        <m/>
      </sharedItems>
    </cacheField>
    <cacheField name="ステータス" numFmtId="0">
      <sharedItems containsBlank="1" count="2">
        <s v="リリース準備中"/>
        <m/>
      </sharedItems>
    </cacheField>
    <cacheField name="障害種別" numFmtId="0">
      <sharedItems containsString="0" containsBlank="1" count="1">
        <m/>
      </sharedItems>
    </cacheField>
    <cacheField name="処置" numFmtId="0">
      <sharedItems containsString="0" containsBlank="1" count="1">
        <m/>
      </sharedItems>
    </cacheField>
    <cacheField name="処置種別" numFmtId="0">
      <sharedItems containsString="0" containsBlank="1" count="1">
        <m/>
      </sharedItems>
    </cacheField>
    <cacheField name="修正日" numFmtId="0">
      <sharedItems containsString="0" containsBlank="1" count="1">
        <m/>
      </sharedItems>
    </cacheField>
    <cacheField name="検証予定日" numFmtId="0">
      <sharedItems containsString="0" containsBlank="1" count="1">
        <m/>
      </sharedItems>
    </cacheField>
    <cacheField name="検証実施日" numFmtId="0">
      <sharedItems containsString="0" containsBlank="1" count="1">
        <m/>
      </sharedItems>
    </cacheField>
    <cacheField name="ﾘﾘｰｽ_x000a_ﾊﾞｰｼﾞｮﾝ" numFmtId="0">
      <sharedItems containsString="0" containsBlank="1" count="1">
        <m/>
      </sharedItems>
    </cacheField>
    <cacheField name="回答(ﾘﾘｰｽ)予定日" numFmtId="0">
      <sharedItems containsString="0" containsBlank="1" count="1">
        <m/>
      </sharedItems>
    </cacheField>
    <cacheField name="リリース日" numFmtId="0">
      <sharedItems containsString="0" containsBlank="1" count="1">
        <m/>
      </sharedItems>
    </cacheField>
    <cacheField name="管理者確認日" numFmtId="0">
      <sharedItems containsString="0" containsBlank="1" count="1">
        <m/>
      </sharedItems>
    </cacheField>
    <cacheField name="現担当者名" numFmtId="0">
      <sharedItems containsString="0" containsBlank="1" count="1">
        <m/>
      </sharedItems>
    </cacheField>
    <cacheField name="原因システム名" numFmtId="0">
      <sharedItems containsString="0" containsBlank="1" count="1">
        <m/>
      </sharedItems>
    </cacheField>
    <cacheField name="原因機能名" numFmtId="0">
      <sharedItems containsString="0" containsBlank="1" count="1">
        <m/>
      </sharedItems>
    </cacheField>
    <cacheField name="検出者_x000a_所属" numFmtId="0">
      <sharedItems containsString="0" containsBlank="1" count="1">
        <m/>
      </sharedItems>
    </cacheField>
    <cacheField name="重大バグ" numFmtId="0">
      <sharedItems containsString="0" containsBlank="1" count="1">
        <m/>
      </sharedItems>
    </cacheField>
    <cacheField name="担当Ｇ" numFmtId="0">
      <sharedItems containsString="0" containsBlank="1" count="1">
        <m/>
      </sharedItems>
    </cacheField>
    <cacheField name="品質記録番号" numFmtId="0">
      <sharedItems containsString="0" containsBlank="1" count="1">
        <m/>
      </sharedItems>
    </cacheField>
    <cacheField name="調査回答工数" numFmtId="0">
      <sharedItems containsSemiMixedTypes="0" containsString="0" containsNumber="1" containsInteger="1" minValue="0" maxValue="3" count="2">
        <n v="3"/>
        <n v="0"/>
      </sharedItems>
    </cacheField>
    <cacheField name="調査工数" numFmtId="0">
      <sharedItems containsString="0" containsBlank="1" containsNumber="1" containsInteger="1" minValue="2" maxValue="2" count="2">
        <n v="2"/>
        <m/>
      </sharedItems>
    </cacheField>
    <cacheField name="処置工数" numFmtId="0">
      <sharedItems containsString="0" containsBlank="1" containsNumber="1" containsInteger="1" minValue="1" maxValue="1" count="2">
        <n v="1"/>
        <m/>
      </sharedItems>
    </cacheField>
    <cacheField name="件数" numFmtId="0">
      <sharedItems containsSemiMixedTypes="0" containsString="0" containsNumber="1" containsInteger="1" minValue="1" maxValue="4" count="4">
        <n v="1"/>
        <n v="2"/>
        <n v="3"/>
        <n v="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
  <r>
    <x v="0"/>
    <x v="0"/>
    <x v="0"/>
    <x v="0"/>
    <x v="0"/>
    <x v="0"/>
    <x v="0"/>
    <x v="0"/>
    <x v="0"/>
    <x v="0"/>
    <x v="0"/>
    <x v="0"/>
    <x v="0"/>
    <x v="0"/>
    <x v="0"/>
    <x v="0"/>
    <x v="0"/>
    <x v="0"/>
    <x v="0"/>
    <x v="0"/>
    <x v="0"/>
    <x v="0"/>
    <x v="0"/>
    <x v="0"/>
    <x v="0"/>
    <x v="0"/>
    <x v="0"/>
    <x v="0"/>
    <x v="0"/>
    <x v="0"/>
    <x v="0"/>
    <x v="0"/>
    <x v="0"/>
    <x v="0"/>
    <x v="0"/>
    <x v="0"/>
    <x v="0"/>
    <x v="0"/>
    <x v="0"/>
    <x v="0"/>
    <x v="0"/>
    <x v="0"/>
    <x v="0"/>
    <x v="0"/>
  </r>
  <r>
    <x v="1"/>
    <x v="1"/>
    <x v="1"/>
    <x v="0"/>
    <x v="1"/>
    <x v="1"/>
    <x v="0"/>
    <x v="0"/>
    <x v="0"/>
    <x v="1"/>
    <x v="0"/>
    <x v="0"/>
    <x v="1"/>
    <x v="0"/>
    <x v="0"/>
    <x v="0"/>
    <x v="0"/>
    <x v="0"/>
    <x v="0"/>
    <x v="1"/>
    <x v="1"/>
    <x v="0"/>
    <x v="1"/>
    <x v="0"/>
    <x v="0"/>
    <x v="0"/>
    <x v="0"/>
    <x v="0"/>
    <x v="0"/>
    <x v="0"/>
    <x v="0"/>
    <x v="0"/>
    <x v="0"/>
    <x v="0"/>
    <x v="0"/>
    <x v="0"/>
    <x v="0"/>
    <x v="0"/>
    <x v="0"/>
    <x v="0"/>
    <x v="1"/>
    <x v="1"/>
    <x v="1"/>
    <x v="1"/>
  </r>
  <r>
    <x v="0"/>
    <x v="2"/>
    <x v="2"/>
    <x v="0"/>
    <x v="2"/>
    <x v="1"/>
    <x v="0"/>
    <x v="1"/>
    <x v="0"/>
    <x v="2"/>
    <x v="0"/>
    <x v="0"/>
    <x v="1"/>
    <x v="0"/>
    <x v="0"/>
    <x v="0"/>
    <x v="0"/>
    <x v="0"/>
    <x v="0"/>
    <x v="1"/>
    <x v="2"/>
    <x v="0"/>
    <x v="1"/>
    <x v="0"/>
    <x v="0"/>
    <x v="0"/>
    <x v="0"/>
    <x v="0"/>
    <x v="0"/>
    <x v="0"/>
    <x v="0"/>
    <x v="0"/>
    <x v="0"/>
    <x v="0"/>
    <x v="0"/>
    <x v="0"/>
    <x v="0"/>
    <x v="0"/>
    <x v="0"/>
    <x v="0"/>
    <x v="1"/>
    <x v="1"/>
    <x v="1"/>
    <x v="2"/>
  </r>
  <r>
    <x v="1"/>
    <x v="3"/>
    <x v="3"/>
    <x v="0"/>
    <x v="3"/>
    <x v="2"/>
    <x v="0"/>
    <x v="2"/>
    <x v="0"/>
    <x v="1"/>
    <x v="0"/>
    <x v="0"/>
    <x v="1"/>
    <x v="0"/>
    <x v="0"/>
    <x v="0"/>
    <x v="0"/>
    <x v="0"/>
    <x v="0"/>
    <x v="1"/>
    <x v="0"/>
    <x v="0"/>
    <x v="1"/>
    <x v="0"/>
    <x v="0"/>
    <x v="0"/>
    <x v="0"/>
    <x v="0"/>
    <x v="0"/>
    <x v="0"/>
    <x v="0"/>
    <x v="0"/>
    <x v="0"/>
    <x v="0"/>
    <x v="0"/>
    <x v="0"/>
    <x v="0"/>
    <x v="0"/>
    <x v="0"/>
    <x v="0"/>
    <x v="1"/>
    <x v="1"/>
    <x v="1"/>
    <x v="3"/>
  </r>
  <r>
    <x v="1"/>
    <x v="4"/>
    <x v="4"/>
    <x v="1"/>
    <x v="4"/>
    <x v="1"/>
    <x v="0"/>
    <x v="2"/>
    <x v="0"/>
    <x v="1"/>
    <x v="1"/>
    <x v="0"/>
    <x v="1"/>
    <x v="0"/>
    <x v="0"/>
    <x v="0"/>
    <x v="0"/>
    <x v="0"/>
    <x v="0"/>
    <x v="1"/>
    <x v="3"/>
    <x v="0"/>
    <x v="1"/>
    <x v="0"/>
    <x v="0"/>
    <x v="0"/>
    <x v="0"/>
    <x v="0"/>
    <x v="0"/>
    <x v="0"/>
    <x v="0"/>
    <x v="0"/>
    <x v="0"/>
    <x v="0"/>
    <x v="0"/>
    <x v="0"/>
    <x v="0"/>
    <x v="0"/>
    <x v="0"/>
    <x v="0"/>
    <x v="1"/>
    <x v="1"/>
    <x v="1"/>
    <x v="0"/>
  </r>
</pivotCacheRecords>
</file>

<file path=xl/pivotCache/pivotCacheRecords2.xml><?xml version="1.0" encoding="utf-8"?>
<pivotCacheRecords xmlns="http://schemas.openxmlformats.org/spreadsheetml/2006/main" xmlns:r="http://schemas.openxmlformats.org/officeDocument/2006/relationships" count="5">
  <r>
    <x v="0"/>
    <x v="0"/>
    <x v="0"/>
    <x v="0"/>
    <x v="0"/>
    <x v="0"/>
    <x v="0"/>
    <x v="0"/>
    <x v="0"/>
    <x v="0"/>
    <x v="0"/>
    <x v="0"/>
    <x v="0"/>
    <x v="0"/>
    <x v="0"/>
    <x v="0"/>
    <x v="0"/>
    <x v="0"/>
    <x v="0"/>
    <x v="0"/>
    <x v="0"/>
    <x v="0"/>
    <x v="0"/>
    <x v="0"/>
    <x v="0"/>
    <x v="0"/>
    <x v="0"/>
    <x v="0"/>
    <x v="0"/>
    <x v="0"/>
    <x v="0"/>
    <x v="0"/>
    <x v="0"/>
    <x v="0"/>
    <x v="0"/>
    <x v="0"/>
    <x v="0"/>
    <x v="0"/>
    <x v="0"/>
    <x v="0"/>
    <x v="0"/>
    <x v="0"/>
    <x v="0"/>
    <x v="0"/>
  </r>
  <r>
    <x v="1"/>
    <x v="1"/>
    <x v="1"/>
    <x v="0"/>
    <x v="1"/>
    <x v="1"/>
    <x v="0"/>
    <x v="0"/>
    <x v="0"/>
    <x v="1"/>
    <x v="0"/>
    <x v="0"/>
    <x v="1"/>
    <x v="0"/>
    <x v="0"/>
    <x v="0"/>
    <x v="0"/>
    <x v="0"/>
    <x v="0"/>
    <x v="1"/>
    <x v="1"/>
    <x v="0"/>
    <x v="1"/>
    <x v="0"/>
    <x v="0"/>
    <x v="0"/>
    <x v="0"/>
    <x v="0"/>
    <x v="0"/>
    <x v="0"/>
    <x v="0"/>
    <x v="0"/>
    <x v="0"/>
    <x v="0"/>
    <x v="0"/>
    <x v="0"/>
    <x v="0"/>
    <x v="0"/>
    <x v="0"/>
    <x v="0"/>
    <x v="1"/>
    <x v="1"/>
    <x v="1"/>
    <x v="1"/>
  </r>
  <r>
    <x v="0"/>
    <x v="2"/>
    <x v="2"/>
    <x v="0"/>
    <x v="2"/>
    <x v="1"/>
    <x v="0"/>
    <x v="1"/>
    <x v="0"/>
    <x v="2"/>
    <x v="0"/>
    <x v="0"/>
    <x v="1"/>
    <x v="0"/>
    <x v="0"/>
    <x v="0"/>
    <x v="0"/>
    <x v="0"/>
    <x v="0"/>
    <x v="1"/>
    <x v="2"/>
    <x v="0"/>
    <x v="1"/>
    <x v="0"/>
    <x v="0"/>
    <x v="0"/>
    <x v="0"/>
    <x v="0"/>
    <x v="0"/>
    <x v="0"/>
    <x v="0"/>
    <x v="0"/>
    <x v="0"/>
    <x v="0"/>
    <x v="0"/>
    <x v="0"/>
    <x v="0"/>
    <x v="0"/>
    <x v="0"/>
    <x v="0"/>
    <x v="1"/>
    <x v="1"/>
    <x v="1"/>
    <x v="2"/>
  </r>
  <r>
    <x v="1"/>
    <x v="3"/>
    <x v="3"/>
    <x v="0"/>
    <x v="3"/>
    <x v="2"/>
    <x v="0"/>
    <x v="2"/>
    <x v="0"/>
    <x v="1"/>
    <x v="0"/>
    <x v="0"/>
    <x v="1"/>
    <x v="0"/>
    <x v="0"/>
    <x v="0"/>
    <x v="0"/>
    <x v="0"/>
    <x v="0"/>
    <x v="1"/>
    <x v="0"/>
    <x v="0"/>
    <x v="1"/>
    <x v="0"/>
    <x v="0"/>
    <x v="0"/>
    <x v="0"/>
    <x v="0"/>
    <x v="0"/>
    <x v="0"/>
    <x v="0"/>
    <x v="0"/>
    <x v="0"/>
    <x v="0"/>
    <x v="0"/>
    <x v="0"/>
    <x v="0"/>
    <x v="0"/>
    <x v="0"/>
    <x v="0"/>
    <x v="1"/>
    <x v="1"/>
    <x v="1"/>
    <x v="3"/>
  </r>
  <r>
    <x v="1"/>
    <x v="4"/>
    <x v="4"/>
    <x v="1"/>
    <x v="4"/>
    <x v="1"/>
    <x v="0"/>
    <x v="2"/>
    <x v="0"/>
    <x v="1"/>
    <x v="1"/>
    <x v="0"/>
    <x v="1"/>
    <x v="0"/>
    <x v="0"/>
    <x v="0"/>
    <x v="0"/>
    <x v="0"/>
    <x v="0"/>
    <x v="1"/>
    <x v="3"/>
    <x v="0"/>
    <x v="1"/>
    <x v="0"/>
    <x v="0"/>
    <x v="0"/>
    <x v="0"/>
    <x v="0"/>
    <x v="0"/>
    <x v="0"/>
    <x v="0"/>
    <x v="0"/>
    <x v="0"/>
    <x v="0"/>
    <x v="0"/>
    <x v="0"/>
    <x v="0"/>
    <x v="0"/>
    <x v="0"/>
    <x v="0"/>
    <x v="1"/>
    <x v="1"/>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ピボット発生" cacheId="1" dataOnRows="1" applyNumberFormats="0" applyBorderFormats="0" applyFontFormats="0" applyPatternFormats="0" applyAlignmentFormats="0" applyWidthHeightFormats="1" dataCaption="データ" updatedVersion="2" showMemberPropertyTips="0" useAutoFormatting="1" itemPrintTitles="1" createdVersion="1" indent="0" compact="0" compactData="0" gridDropZones="1">
  <location ref="BB1:BC6" firstHeaderRow="2" firstDataRow="2" firstDataCol="1"/>
  <pivotFields count="44">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numFmtId="176"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79"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7"/>
  </rowFields>
  <rowItems count="4">
    <i>
      <x/>
    </i>
    <i>
      <x v="1"/>
    </i>
    <i>
      <x v="2"/>
    </i>
    <i t="grand">
      <x/>
    </i>
  </rowItems>
  <colItems count="1">
    <i/>
  </colItems>
  <dataFields count="1">
    <dataField name="合計 / 件数" fld="43" baseField="0" baseItem="0"/>
  </dataFields>
  <pivotTableStyleInfo showRowHeaders="1" showColHeaders="1" showRowStripes="0" showColStripes="0" showLastColumn="1"/>
</pivotTableDefinition>
</file>

<file path=xl/pivotTables/pivotTable2.xml><?xml version="1.0" encoding="utf-8"?>
<pivotTableDefinition xmlns="http://schemas.openxmlformats.org/spreadsheetml/2006/main" name="ピボット回答" cacheId="0" dataOnRows="1" applyNumberFormats="0" applyBorderFormats="0" applyFontFormats="0" applyPatternFormats="0" applyAlignmentFormats="0" applyWidthHeightFormats="1" dataCaption="データ" updatedVersion="2" showMemberPropertyTips="0" useAutoFormatting="1" itemPrintTitles="1" createdVersion="1" indent="0" compact="0" compactData="0" gridDropZones="1">
  <location ref="BG1:BH6" firstHeaderRow="2" firstDataRow="2" firstDataCol="1"/>
  <pivotFields count="44">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76" outline="0" subtotalTop="0" showAll="0" includeNewItemsInFilter="1"/>
    <pivotField compact="0" outline="0" subtotalTop="0" showAll="0" includeNewItemsInFilter="1"/>
    <pivotField axis="axisRow" compact="0" outline="0" subtotalTop="0" showAll="0" includeNewItemsInFilter="1">
      <items count="4">
        <item x="0"/>
        <item x="2"/>
        <item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79"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9"/>
  </rowFields>
  <rowItems count="4">
    <i>
      <x/>
    </i>
    <i>
      <x v="1"/>
    </i>
    <i>
      <x v="2"/>
    </i>
    <i t="grand">
      <x/>
    </i>
  </rowItems>
  <colItems count="1">
    <i/>
  </colItems>
  <dataFields count="1">
    <dataField name="合計 / 件数" fld="43" baseField="0" baseItem="0"/>
  </dataFields>
  <pivotTableStyleInfo showRowHeaders="1" showColHeaders="1" showRowStripes="0" showColStripes="0" showLastColumn="1"/>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externalLinkPath" Target="/Documents%20and%20Settings/1134140013650/&#12487;&#12473;&#12463;&#12488;&#12483;&#12503;/ICF_Autocapsule_disabled/before_&#38556;&#23475;.XLS" TargetMode="Externa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4.bin"/><Relationship Id="rId5" Type="http://schemas.openxmlformats.org/officeDocument/2006/relationships/externalLinkPath" Target="/Documents%20and%20Settings/1134140013650/&#12487;&#12473;&#12463;&#12488;&#12483;&#12503;/ICF_Autocapsule_disabled/before_&#38556;&#23475;.XLS" TargetMode="External"/><Relationship Id="rId4" Type="http://schemas.openxmlformats.org/officeDocument/2006/relationships/externalLinkPath" Target="/Documents%20and%20Settings/1134140013650/&#12487;&#12473;&#12463;&#12488;&#12483;&#12503;/ICF_Autocapsule_disabled/before_&#38556;&#23475;.XLS"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46"/>
  <sheetViews>
    <sheetView showGridLines="0" tabSelected="1" zoomScale="85" zoomScaleNormal="85" workbookViewId="0">
      <pane xSplit="4" ySplit="3" topLeftCell="E10" activePane="bottomRight" state="frozen"/>
      <selection pane="topRight" activeCell="E1" sqref="E1"/>
      <selection pane="bottomLeft" activeCell="A4" sqref="A4"/>
      <selection pane="bottomRight" activeCell="G18" sqref="G18"/>
    </sheetView>
  </sheetViews>
  <sheetFormatPr defaultRowHeight="28.5" customHeight="1" outlineLevelCol="1"/>
  <cols>
    <col min="1" max="1" width="0.875" style="1" customWidth="1"/>
    <col min="2" max="2" width="3.125" style="60" customWidth="1"/>
    <col min="3" max="3" width="10.25" style="3" customWidth="1"/>
    <col min="4" max="4" width="42.625" style="9" customWidth="1"/>
    <col min="5" max="5" width="14.625" style="5" customWidth="1"/>
    <col min="6" max="6" width="14.625" style="6" customWidth="1"/>
    <col min="7" max="7" width="14.625" style="6" customWidth="1" outlineLevel="1"/>
    <col min="8" max="8" width="14.625" style="3" customWidth="1"/>
    <col min="9" max="9" width="10.625" style="7" customWidth="1"/>
    <col min="10" max="10" width="9.625" style="3" customWidth="1"/>
    <col min="11" max="11" width="10.625" style="8" customWidth="1"/>
    <col min="12" max="12" width="9.625" style="3" customWidth="1"/>
    <col min="13" max="13" width="6.625" style="5" customWidth="1"/>
    <col min="14" max="15" width="14.625" style="5" customWidth="1"/>
    <col min="16" max="17" width="8.625" style="7" customWidth="1"/>
    <col min="18" max="18" width="8.625" style="5" customWidth="1"/>
    <col min="19" max="19" width="8.625" style="3" customWidth="1"/>
    <col min="20" max="20" width="40.625" style="9" customWidth="1"/>
    <col min="21" max="21" width="15.625" style="5" customWidth="1"/>
    <col min="22" max="22" width="14.625" style="5" customWidth="1"/>
    <col min="23" max="23" width="14.625" style="3" customWidth="1" outlineLevel="1"/>
    <col min="24" max="24" width="14.625" style="5" customWidth="1"/>
    <col min="25" max="25" width="14.625" style="10" customWidth="1"/>
    <col min="26" max="26" width="40.625" style="9" customWidth="1"/>
    <col min="27" max="27" width="14.625" style="10" customWidth="1"/>
    <col min="28" max="28" width="11.625" style="7" customWidth="1"/>
    <col min="29" max="30" width="11.625" style="7" customWidth="1" outlineLevel="1"/>
    <col min="31" max="31" width="11.625" style="3" customWidth="1" outlineLevel="1"/>
    <col min="32" max="33" width="11.625" style="7" customWidth="1" outlineLevel="1"/>
    <col min="34" max="34" width="14.625" style="7" customWidth="1" outlineLevel="1"/>
    <col min="35" max="35" width="14.625" style="3" customWidth="1" outlineLevel="1"/>
    <col min="36" max="36" width="16.125" style="11" customWidth="1" outlineLevel="1"/>
    <col min="37" max="37" width="14.125" style="11" customWidth="1" outlineLevel="1"/>
    <col min="38" max="38" width="9" style="11" customWidth="1" outlineLevel="1"/>
    <col min="39" max="39" width="9" style="11"/>
    <col min="40" max="40" width="12.625" style="11" customWidth="1" outlineLevel="1"/>
    <col min="41" max="41" width="14.375" style="11" customWidth="1" outlineLevel="1"/>
    <col min="42" max="42" width="9" style="12"/>
    <col min="43" max="44" width="9" style="13"/>
    <col min="45" max="45" width="9" style="14"/>
  </cols>
  <sheetData>
    <row r="1" spans="1:45" ht="31.5" customHeight="1">
      <c r="B1" s="2">
        <v>0</v>
      </c>
      <c r="D1" s="4" t="s">
        <v>105</v>
      </c>
      <c r="E1" s="231" t="str">
        <f>"PJ管理基盤登録 最終実行日 " &amp;IF(_plist!C4="","",TEXT(_plist!C4,"yyyy/mm/dd"))</f>
        <v xml:space="preserve">PJ管理基盤登録 最終実行日 </v>
      </c>
    </row>
    <row r="2" spans="1:45" ht="15" customHeight="1" thickBot="1">
      <c r="A2" s="15"/>
      <c r="B2" s="16"/>
      <c r="C2" s="17" t="str">
        <f>"Ver. " &amp; VER</f>
        <v>Ver. 4.0</v>
      </c>
      <c r="D2" s="18" t="str">
        <f>"Rev. " &amp; REV</f>
        <v>Rev. 201</v>
      </c>
      <c r="E2" s="19" t="s">
        <v>106</v>
      </c>
      <c r="F2" s="19" t="s">
        <v>107</v>
      </c>
      <c r="G2" s="19" t="s">
        <v>108</v>
      </c>
      <c r="I2" s="20"/>
      <c r="J2" s="21"/>
      <c r="K2" s="19" t="s">
        <v>109</v>
      </c>
      <c r="M2" s="19" t="s">
        <v>110</v>
      </c>
      <c r="V2" s="19" t="s">
        <v>111</v>
      </c>
      <c r="AB2" s="20"/>
      <c r="AJ2" s="22"/>
      <c r="AK2" s="22"/>
      <c r="AL2" s="11" t="s">
        <v>112</v>
      </c>
      <c r="AN2" s="19" t="s">
        <v>113</v>
      </c>
      <c r="AO2" s="19" t="s">
        <v>114</v>
      </c>
    </row>
    <row r="3" spans="1:45" s="39" customFormat="1">
      <c r="A3" s="23"/>
      <c r="B3" s="24" t="s">
        <v>0</v>
      </c>
      <c r="C3" s="25" t="s">
        <v>115</v>
      </c>
      <c r="D3" s="26" t="s">
        <v>116</v>
      </c>
      <c r="E3" s="27" t="s">
        <v>117</v>
      </c>
      <c r="F3" s="27" t="s">
        <v>118</v>
      </c>
      <c r="G3" s="235" t="s">
        <v>119</v>
      </c>
      <c r="H3" s="25" t="s">
        <v>120</v>
      </c>
      <c r="I3" s="28" t="s">
        <v>121</v>
      </c>
      <c r="J3" s="29" t="s">
        <v>122</v>
      </c>
      <c r="K3" s="30" t="s">
        <v>1</v>
      </c>
      <c r="L3" s="31" t="s">
        <v>123</v>
      </c>
      <c r="M3" s="32" t="s">
        <v>124</v>
      </c>
      <c r="N3" s="27" t="s">
        <v>125</v>
      </c>
      <c r="O3" s="27" t="s">
        <v>126</v>
      </c>
      <c r="P3" s="27" t="s">
        <v>127</v>
      </c>
      <c r="Q3" s="27" t="s">
        <v>128</v>
      </c>
      <c r="R3" s="27" t="s">
        <v>129</v>
      </c>
      <c r="S3" s="33" t="s">
        <v>2</v>
      </c>
      <c r="T3" s="34" t="s">
        <v>130</v>
      </c>
      <c r="U3" s="35" t="s">
        <v>131</v>
      </c>
      <c r="V3" s="35" t="s">
        <v>111</v>
      </c>
      <c r="W3" s="236" t="s">
        <v>132</v>
      </c>
      <c r="X3" s="35" t="s">
        <v>133</v>
      </c>
      <c r="Y3" s="35" t="s">
        <v>134</v>
      </c>
      <c r="Z3" s="34" t="s">
        <v>135</v>
      </c>
      <c r="AA3" s="35" t="s">
        <v>136</v>
      </c>
      <c r="AB3" s="35" t="s">
        <v>137</v>
      </c>
      <c r="AC3" s="237" t="s">
        <v>138</v>
      </c>
      <c r="AD3" s="237" t="s">
        <v>139</v>
      </c>
      <c r="AE3" s="236" t="s">
        <v>140</v>
      </c>
      <c r="AF3" s="237" t="s">
        <v>141</v>
      </c>
      <c r="AG3" s="235" t="s">
        <v>142</v>
      </c>
      <c r="AH3" s="237" t="s">
        <v>143</v>
      </c>
      <c r="AI3" s="238" t="s">
        <v>144</v>
      </c>
      <c r="AJ3" s="237" t="s">
        <v>145</v>
      </c>
      <c r="AK3" s="237" t="s">
        <v>146</v>
      </c>
      <c r="AL3" s="237" t="s">
        <v>147</v>
      </c>
      <c r="AM3" s="36" t="s">
        <v>148</v>
      </c>
      <c r="AN3" s="237" t="s">
        <v>149</v>
      </c>
      <c r="AO3" s="237" t="s">
        <v>150</v>
      </c>
      <c r="AP3" s="37" t="s">
        <v>151</v>
      </c>
      <c r="AQ3" s="37" t="s">
        <v>152</v>
      </c>
      <c r="AR3" s="37" t="s">
        <v>153</v>
      </c>
      <c r="AS3" s="38" t="s">
        <v>154</v>
      </c>
    </row>
    <row r="4" spans="1:45" s="11" customFormat="1">
      <c r="A4" s="40"/>
      <c r="B4" s="41" t="e">
        <f t="shared" ref="B4:B46" ca="1" si="0" xml:space="preserve"> TK(K4)</f>
        <v>#NAME?</v>
      </c>
      <c r="C4" s="230" t="s">
        <v>406</v>
      </c>
      <c r="D4" s="247" t="s">
        <v>463</v>
      </c>
      <c r="E4" s="44" t="s">
        <v>27</v>
      </c>
      <c r="F4" s="239" t="s">
        <v>401</v>
      </c>
      <c r="G4" s="45"/>
      <c r="H4" s="239" t="s">
        <v>446</v>
      </c>
      <c r="I4" s="240">
        <v>43691</v>
      </c>
      <c r="J4" s="240" t="s">
        <v>447</v>
      </c>
      <c r="K4" s="241"/>
      <c r="L4" s="244"/>
      <c r="M4" s="48" t="s">
        <v>445</v>
      </c>
      <c r="N4" s="44" t="s">
        <v>444</v>
      </c>
      <c r="O4" s="45" t="s">
        <v>190</v>
      </c>
      <c r="P4" s="45" t="s">
        <v>191</v>
      </c>
      <c r="Q4" s="45" t="s">
        <v>191</v>
      </c>
      <c r="R4" s="45" t="s">
        <v>218</v>
      </c>
      <c r="S4" s="42"/>
      <c r="T4" s="245"/>
      <c r="U4" s="44"/>
      <c r="V4" s="239" t="s">
        <v>26</v>
      </c>
      <c r="W4" s="49"/>
      <c r="X4" s="45" t="s">
        <v>220</v>
      </c>
      <c r="Y4" s="50" t="s">
        <v>195</v>
      </c>
      <c r="Z4" s="246"/>
      <c r="AA4" s="50"/>
      <c r="AB4" s="241"/>
      <c r="AC4" s="46"/>
      <c r="AD4" s="46"/>
      <c r="AE4" s="49"/>
      <c r="AF4" s="46"/>
      <c r="AG4" s="46"/>
      <c r="AH4" s="46"/>
      <c r="AI4" s="51"/>
      <c r="AJ4" s="52"/>
      <c r="AK4" s="52"/>
      <c r="AL4" s="52"/>
      <c r="AM4" s="52"/>
      <c r="AN4" s="52"/>
      <c r="AO4" s="52"/>
      <c r="AP4" s="53">
        <f t="shared" ref="AP4:AP46" si="1">SUM(AQ4:AR4)</f>
        <v>0</v>
      </c>
      <c r="AQ4" s="54"/>
      <c r="AR4" s="54"/>
      <c r="AS4" s="55"/>
    </row>
    <row r="5" spans="1:45" s="11" customFormat="1">
      <c r="A5" s="40"/>
      <c r="B5" s="41" t="e">
        <f t="shared" ca="1" si="0"/>
        <v>#NAME?</v>
      </c>
      <c r="C5" s="230" t="s">
        <v>407</v>
      </c>
      <c r="D5" s="247" t="s">
        <v>461</v>
      </c>
      <c r="E5" s="44" t="s">
        <v>27</v>
      </c>
      <c r="F5" s="239" t="s">
        <v>401</v>
      </c>
      <c r="G5" s="45"/>
      <c r="H5" s="239" t="s">
        <v>446</v>
      </c>
      <c r="I5" s="240">
        <v>43691</v>
      </c>
      <c r="J5" s="240" t="s">
        <v>454</v>
      </c>
      <c r="K5" s="241">
        <v>43706</v>
      </c>
      <c r="L5" s="244" t="s">
        <v>473</v>
      </c>
      <c r="M5" s="48" t="s">
        <v>445</v>
      </c>
      <c r="N5" s="44" t="s">
        <v>444</v>
      </c>
      <c r="O5" s="45" t="s">
        <v>190</v>
      </c>
      <c r="P5" s="45" t="s">
        <v>191</v>
      </c>
      <c r="Q5" s="45" t="s">
        <v>191</v>
      </c>
      <c r="R5" s="45" t="s">
        <v>204</v>
      </c>
      <c r="S5" s="42"/>
      <c r="T5" s="245" t="s">
        <v>474</v>
      </c>
      <c r="U5" s="44" t="s">
        <v>63</v>
      </c>
      <c r="V5" s="239" t="s">
        <v>26</v>
      </c>
      <c r="W5" s="49"/>
      <c r="X5" s="45" t="s">
        <v>272</v>
      </c>
      <c r="Y5" s="50" t="s">
        <v>195</v>
      </c>
      <c r="Z5" s="246" t="s">
        <v>475</v>
      </c>
      <c r="AA5" s="50" t="s">
        <v>196</v>
      </c>
      <c r="AB5" s="241">
        <v>43706</v>
      </c>
      <c r="AC5" s="46"/>
      <c r="AD5" s="46"/>
      <c r="AE5" s="49"/>
      <c r="AF5" s="46"/>
      <c r="AG5" s="46"/>
      <c r="AH5" s="46"/>
      <c r="AI5" s="51"/>
      <c r="AJ5" s="52"/>
      <c r="AK5" s="52"/>
      <c r="AL5" s="52"/>
      <c r="AM5" s="52"/>
      <c r="AN5" s="52"/>
      <c r="AO5" s="52"/>
      <c r="AP5" s="53">
        <f t="shared" si="1"/>
        <v>0</v>
      </c>
      <c r="AQ5" s="54"/>
      <c r="AR5" s="54"/>
      <c r="AS5" s="55"/>
    </row>
    <row r="6" spans="1:45" s="11" customFormat="1">
      <c r="A6" s="40"/>
      <c r="B6" s="41" t="e">
        <f t="shared" ca="1" si="0"/>
        <v>#NAME?</v>
      </c>
      <c r="C6" s="230" t="s">
        <v>408</v>
      </c>
      <c r="D6" s="247" t="s">
        <v>449</v>
      </c>
      <c r="E6" s="44" t="s">
        <v>27</v>
      </c>
      <c r="F6" s="239" t="s">
        <v>401</v>
      </c>
      <c r="G6" s="45"/>
      <c r="H6" s="239" t="s">
        <v>446</v>
      </c>
      <c r="I6" s="240">
        <v>43691</v>
      </c>
      <c r="J6" s="240" t="s">
        <v>452</v>
      </c>
      <c r="K6" s="241">
        <v>43697</v>
      </c>
      <c r="L6" s="244" t="s">
        <v>448</v>
      </c>
      <c r="M6" s="48" t="s">
        <v>445</v>
      </c>
      <c r="N6" s="44" t="s">
        <v>444</v>
      </c>
      <c r="O6" s="45" t="s">
        <v>190</v>
      </c>
      <c r="P6" s="45" t="s">
        <v>191</v>
      </c>
      <c r="Q6" s="45" t="s">
        <v>191</v>
      </c>
      <c r="R6" s="45" t="s">
        <v>218</v>
      </c>
      <c r="S6" s="42"/>
      <c r="T6" s="245" t="s">
        <v>450</v>
      </c>
      <c r="U6" s="44" t="s">
        <v>235</v>
      </c>
      <c r="V6" s="239" t="s">
        <v>26</v>
      </c>
      <c r="W6" s="49"/>
      <c r="X6" s="45" t="s">
        <v>272</v>
      </c>
      <c r="Y6" s="50" t="s">
        <v>195</v>
      </c>
      <c r="Z6" s="246" t="s">
        <v>476</v>
      </c>
      <c r="AA6" s="50" t="s">
        <v>196</v>
      </c>
      <c r="AB6" s="241">
        <v>43696</v>
      </c>
      <c r="AC6" s="46"/>
      <c r="AD6" s="46"/>
      <c r="AE6" s="49"/>
      <c r="AF6" s="46"/>
      <c r="AG6" s="46"/>
      <c r="AH6" s="46"/>
      <c r="AI6" s="51"/>
      <c r="AJ6" s="52"/>
      <c r="AK6" s="52"/>
      <c r="AL6" s="52"/>
      <c r="AM6" s="52"/>
      <c r="AN6" s="52"/>
      <c r="AO6" s="52"/>
      <c r="AP6" s="53">
        <f t="shared" si="1"/>
        <v>0</v>
      </c>
      <c r="AQ6" s="54"/>
      <c r="AR6" s="54"/>
      <c r="AS6" s="55"/>
    </row>
    <row r="7" spans="1:45" s="11" customFormat="1">
      <c r="A7" s="40"/>
      <c r="B7" s="41" t="e">
        <f t="shared" ca="1" si="0"/>
        <v>#NAME?</v>
      </c>
      <c r="C7" s="230" t="s">
        <v>409</v>
      </c>
      <c r="D7" s="247" t="s">
        <v>451</v>
      </c>
      <c r="E7" s="44" t="s">
        <v>27</v>
      </c>
      <c r="F7" s="239" t="s">
        <v>401</v>
      </c>
      <c r="G7" s="45"/>
      <c r="H7" s="239" t="s">
        <v>458</v>
      </c>
      <c r="I7" s="240">
        <v>43689</v>
      </c>
      <c r="J7" s="240" t="s">
        <v>453</v>
      </c>
      <c r="K7" s="241">
        <v>43693</v>
      </c>
      <c r="L7" s="244" t="s">
        <v>462</v>
      </c>
      <c r="M7" s="48" t="s">
        <v>445</v>
      </c>
      <c r="N7" s="44" t="s">
        <v>444</v>
      </c>
      <c r="O7" s="45" t="s">
        <v>190</v>
      </c>
      <c r="P7" s="45" t="s">
        <v>191</v>
      </c>
      <c r="Q7" s="45" t="s">
        <v>191</v>
      </c>
      <c r="R7" s="45" t="s">
        <v>218</v>
      </c>
      <c r="S7" s="42"/>
      <c r="T7" s="245" t="s">
        <v>455</v>
      </c>
      <c r="U7" s="44" t="s">
        <v>244</v>
      </c>
      <c r="V7" s="239" t="s">
        <v>26</v>
      </c>
      <c r="W7" s="49"/>
      <c r="X7" s="45" t="s">
        <v>272</v>
      </c>
      <c r="Y7" s="50" t="s">
        <v>195</v>
      </c>
      <c r="Z7" s="246" t="s">
        <v>456</v>
      </c>
      <c r="AA7" s="50" t="s">
        <v>196</v>
      </c>
      <c r="AB7" s="241">
        <v>43693</v>
      </c>
      <c r="AC7" s="46"/>
      <c r="AD7" s="46"/>
      <c r="AE7" s="49"/>
      <c r="AF7" s="46"/>
      <c r="AG7" s="46"/>
      <c r="AH7" s="46"/>
      <c r="AI7" s="51"/>
      <c r="AJ7" s="52"/>
      <c r="AK7" s="52"/>
      <c r="AL7" s="52"/>
      <c r="AM7" s="52"/>
      <c r="AN7" s="52"/>
      <c r="AO7" s="52"/>
      <c r="AP7" s="53">
        <f t="shared" si="1"/>
        <v>0</v>
      </c>
      <c r="AQ7" s="54"/>
      <c r="AR7" s="54"/>
      <c r="AS7" s="55"/>
    </row>
    <row r="8" spans="1:45" s="11" customFormat="1">
      <c r="A8" s="40"/>
      <c r="B8" s="41" t="e">
        <f t="shared" ca="1" si="0"/>
        <v>#NAME?</v>
      </c>
      <c r="C8" s="230" t="s">
        <v>410</v>
      </c>
      <c r="D8" s="247" t="s">
        <v>457</v>
      </c>
      <c r="E8" s="44" t="s">
        <v>27</v>
      </c>
      <c r="F8" s="239" t="s">
        <v>401</v>
      </c>
      <c r="G8" s="45"/>
      <c r="H8" s="239" t="s">
        <v>446</v>
      </c>
      <c r="I8" s="240">
        <v>43689</v>
      </c>
      <c r="J8" s="240" t="s">
        <v>453</v>
      </c>
      <c r="K8" s="241">
        <v>43696</v>
      </c>
      <c r="L8" s="244" t="s">
        <v>454</v>
      </c>
      <c r="M8" s="48" t="s">
        <v>445</v>
      </c>
      <c r="N8" s="44" t="s">
        <v>444</v>
      </c>
      <c r="O8" s="45" t="s">
        <v>190</v>
      </c>
      <c r="P8" s="45" t="s">
        <v>191</v>
      </c>
      <c r="Q8" s="45" t="s">
        <v>191</v>
      </c>
      <c r="R8" s="45" t="s">
        <v>218</v>
      </c>
      <c r="S8" s="42"/>
      <c r="T8" s="245" t="s">
        <v>459</v>
      </c>
      <c r="U8" s="44" t="s">
        <v>244</v>
      </c>
      <c r="V8" s="239" t="s">
        <v>26</v>
      </c>
      <c r="W8" s="49"/>
      <c r="X8" s="45" t="s">
        <v>272</v>
      </c>
      <c r="Y8" s="50" t="s">
        <v>195</v>
      </c>
      <c r="Z8" s="246" t="s">
        <v>460</v>
      </c>
      <c r="AA8" s="50" t="s">
        <v>196</v>
      </c>
      <c r="AB8" s="241">
        <v>43696</v>
      </c>
      <c r="AC8" s="46"/>
      <c r="AD8" s="46"/>
      <c r="AE8" s="49"/>
      <c r="AF8" s="46"/>
      <c r="AG8" s="46"/>
      <c r="AH8" s="46"/>
      <c r="AI8" s="51"/>
      <c r="AJ8" s="52"/>
      <c r="AK8" s="52"/>
      <c r="AL8" s="52"/>
      <c r="AM8" s="52"/>
      <c r="AN8" s="52"/>
      <c r="AO8" s="52"/>
      <c r="AP8" s="53">
        <f t="shared" si="1"/>
        <v>0</v>
      </c>
      <c r="AQ8" s="54"/>
      <c r="AR8" s="54"/>
      <c r="AS8" s="55"/>
    </row>
    <row r="9" spans="1:45" s="11" customFormat="1">
      <c r="A9" s="40"/>
      <c r="B9" s="41" t="e">
        <f t="shared" ca="1" si="0"/>
        <v>#NAME?</v>
      </c>
      <c r="C9" s="230" t="s">
        <v>411</v>
      </c>
      <c r="D9" s="247" t="s">
        <v>468</v>
      </c>
      <c r="E9" s="44" t="s">
        <v>27</v>
      </c>
      <c r="F9" s="239" t="s">
        <v>401</v>
      </c>
      <c r="G9" s="45"/>
      <c r="H9" s="239" t="s">
        <v>446</v>
      </c>
      <c r="I9" s="240">
        <v>43689</v>
      </c>
      <c r="J9" s="240" t="s">
        <v>464</v>
      </c>
      <c r="K9" s="241">
        <v>43696</v>
      </c>
      <c r="L9" s="244" t="s">
        <v>465</v>
      </c>
      <c r="M9" s="48" t="s">
        <v>445</v>
      </c>
      <c r="N9" s="44" t="s">
        <v>444</v>
      </c>
      <c r="O9" s="45" t="s">
        <v>190</v>
      </c>
      <c r="P9" s="45" t="s">
        <v>191</v>
      </c>
      <c r="Q9" s="45" t="s">
        <v>191</v>
      </c>
      <c r="R9" s="45" t="s">
        <v>218</v>
      </c>
      <c r="S9" s="42"/>
      <c r="T9" s="245" t="s">
        <v>466</v>
      </c>
      <c r="U9" s="44" t="s">
        <v>231</v>
      </c>
      <c r="V9" s="239" t="s">
        <v>26</v>
      </c>
      <c r="W9" s="49"/>
      <c r="X9" s="45" t="s">
        <v>272</v>
      </c>
      <c r="Y9" s="50" t="s">
        <v>195</v>
      </c>
      <c r="Z9" s="246" t="s">
        <v>467</v>
      </c>
      <c r="AA9" s="50" t="s">
        <v>196</v>
      </c>
      <c r="AB9" s="241">
        <v>43696</v>
      </c>
      <c r="AC9" s="46"/>
      <c r="AD9" s="46"/>
      <c r="AE9" s="49"/>
      <c r="AF9" s="46"/>
      <c r="AG9" s="46"/>
      <c r="AH9" s="46"/>
      <c r="AI9" s="51"/>
      <c r="AJ9" s="52"/>
      <c r="AK9" s="52"/>
      <c r="AL9" s="52"/>
      <c r="AM9" s="52"/>
      <c r="AN9" s="52"/>
      <c r="AO9" s="52"/>
      <c r="AP9" s="53">
        <f t="shared" si="1"/>
        <v>0</v>
      </c>
      <c r="AQ9" s="54"/>
      <c r="AR9" s="54"/>
      <c r="AS9" s="55"/>
    </row>
    <row r="10" spans="1:45" s="11" customFormat="1">
      <c r="A10" s="40"/>
      <c r="B10" s="41" t="e">
        <f t="shared" ca="1" si="0"/>
        <v>#NAME?</v>
      </c>
      <c r="C10" s="230" t="s">
        <v>412</v>
      </c>
      <c r="D10" s="247" t="s">
        <v>469</v>
      </c>
      <c r="E10" s="44" t="s">
        <v>27</v>
      </c>
      <c r="F10" s="239" t="s">
        <v>401</v>
      </c>
      <c r="G10" s="45"/>
      <c r="H10" s="239" t="s">
        <v>446</v>
      </c>
      <c r="I10" s="240">
        <v>43689</v>
      </c>
      <c r="J10" s="240" t="s">
        <v>470</v>
      </c>
      <c r="K10" s="241">
        <v>43696</v>
      </c>
      <c r="L10" s="244" t="s">
        <v>465</v>
      </c>
      <c r="M10" s="48" t="s">
        <v>445</v>
      </c>
      <c r="N10" s="44" t="s">
        <v>444</v>
      </c>
      <c r="O10" s="45" t="s">
        <v>190</v>
      </c>
      <c r="P10" s="45" t="s">
        <v>191</v>
      </c>
      <c r="Q10" s="45" t="s">
        <v>191</v>
      </c>
      <c r="R10" s="45" t="s">
        <v>218</v>
      </c>
      <c r="S10" s="42"/>
      <c r="T10" s="245" t="s">
        <v>471</v>
      </c>
      <c r="U10" s="44" t="s">
        <v>244</v>
      </c>
      <c r="V10" s="239" t="s">
        <v>26</v>
      </c>
      <c r="W10" s="49"/>
      <c r="X10" s="45" t="s">
        <v>272</v>
      </c>
      <c r="Y10" s="50" t="s">
        <v>195</v>
      </c>
      <c r="Z10" s="246" t="s">
        <v>472</v>
      </c>
      <c r="AA10" s="50" t="s">
        <v>196</v>
      </c>
      <c r="AB10" s="241">
        <v>43696</v>
      </c>
      <c r="AC10" s="46"/>
      <c r="AD10" s="46"/>
      <c r="AE10" s="49"/>
      <c r="AF10" s="46"/>
      <c r="AG10" s="46"/>
      <c r="AH10" s="46"/>
      <c r="AI10" s="51"/>
      <c r="AJ10" s="52"/>
      <c r="AK10" s="52"/>
      <c r="AL10" s="52"/>
      <c r="AM10" s="52"/>
      <c r="AN10" s="52"/>
      <c r="AO10" s="52"/>
      <c r="AP10" s="53">
        <f t="shared" si="1"/>
        <v>0</v>
      </c>
      <c r="AQ10" s="54"/>
      <c r="AR10" s="54"/>
      <c r="AS10" s="55"/>
    </row>
    <row r="11" spans="1:45" s="11" customFormat="1">
      <c r="A11" s="40"/>
      <c r="B11" s="41" t="e">
        <f t="shared" ca="1" si="0"/>
        <v>#NAME?</v>
      </c>
      <c r="C11" s="230" t="s">
        <v>413</v>
      </c>
      <c r="D11" s="247" t="s">
        <v>477</v>
      </c>
      <c r="E11" s="44" t="s">
        <v>27</v>
      </c>
      <c r="F11" s="239" t="s">
        <v>401</v>
      </c>
      <c r="G11" s="45"/>
      <c r="H11" s="239" t="s">
        <v>478</v>
      </c>
      <c r="I11" s="242">
        <v>43691</v>
      </c>
      <c r="J11" s="240" t="s">
        <v>479</v>
      </c>
      <c r="K11" s="242">
        <v>43706</v>
      </c>
      <c r="L11" s="244" t="s">
        <v>484</v>
      </c>
      <c r="M11" s="48" t="s">
        <v>445</v>
      </c>
      <c r="N11" s="44" t="s">
        <v>444</v>
      </c>
      <c r="O11" s="45" t="s">
        <v>202</v>
      </c>
      <c r="P11" s="45" t="s">
        <v>191</v>
      </c>
      <c r="Q11" s="45" t="s">
        <v>191</v>
      </c>
      <c r="R11" s="45" t="s">
        <v>218</v>
      </c>
      <c r="S11" s="42"/>
      <c r="T11" s="250" t="s">
        <v>480</v>
      </c>
      <c r="U11" s="44" t="s">
        <v>244</v>
      </c>
      <c r="V11" s="239" t="s">
        <v>26</v>
      </c>
      <c r="W11" s="49"/>
      <c r="X11" s="45" t="s">
        <v>272</v>
      </c>
      <c r="Y11" s="50" t="s">
        <v>195</v>
      </c>
      <c r="Z11" s="250" t="s">
        <v>481</v>
      </c>
      <c r="AA11" s="50" t="s">
        <v>196</v>
      </c>
      <c r="AB11" s="242">
        <v>43706</v>
      </c>
      <c r="AC11" s="46"/>
      <c r="AD11" s="46"/>
      <c r="AE11" s="49"/>
      <c r="AF11" s="46"/>
      <c r="AG11" s="46"/>
      <c r="AH11" s="46"/>
      <c r="AI11" s="51"/>
      <c r="AJ11" s="52"/>
      <c r="AK11" s="52"/>
      <c r="AL11" s="52"/>
      <c r="AM11" s="52"/>
      <c r="AN11" s="52"/>
      <c r="AO11" s="52"/>
      <c r="AP11" s="53">
        <f t="shared" si="1"/>
        <v>0</v>
      </c>
      <c r="AQ11" s="54"/>
      <c r="AR11" s="54"/>
      <c r="AS11" s="55"/>
    </row>
    <row r="12" spans="1:45" s="11" customFormat="1">
      <c r="A12" s="40"/>
      <c r="B12" s="41" t="e">
        <f t="shared" ca="1" si="0"/>
        <v>#NAME?</v>
      </c>
      <c r="C12" s="230" t="s">
        <v>414</v>
      </c>
      <c r="D12" s="247" t="s">
        <v>482</v>
      </c>
      <c r="E12" s="44" t="s">
        <v>27</v>
      </c>
      <c r="F12" s="239" t="s">
        <v>401</v>
      </c>
      <c r="G12" s="45"/>
      <c r="H12" s="239" t="s">
        <v>483</v>
      </c>
      <c r="I12" s="242">
        <v>43690</v>
      </c>
      <c r="J12" s="240" t="s">
        <v>479</v>
      </c>
      <c r="K12" s="242">
        <v>43692</v>
      </c>
      <c r="L12" s="244" t="s">
        <v>484</v>
      </c>
      <c r="M12" s="48" t="s">
        <v>445</v>
      </c>
      <c r="N12" s="44" t="s">
        <v>444</v>
      </c>
      <c r="O12" s="45" t="s">
        <v>190</v>
      </c>
      <c r="P12" s="45" t="s">
        <v>191</v>
      </c>
      <c r="Q12" s="45" t="s">
        <v>191</v>
      </c>
      <c r="R12" s="45" t="s">
        <v>218</v>
      </c>
      <c r="S12" s="42"/>
      <c r="T12" s="250" t="s">
        <v>487</v>
      </c>
      <c r="U12" s="44" t="s">
        <v>231</v>
      </c>
      <c r="V12" s="239" t="s">
        <v>26</v>
      </c>
      <c r="W12" s="49"/>
      <c r="X12" s="45" t="s">
        <v>272</v>
      </c>
      <c r="Y12" s="50" t="s">
        <v>195</v>
      </c>
      <c r="Z12" s="246" t="s">
        <v>485</v>
      </c>
      <c r="AA12" s="50" t="s">
        <v>196</v>
      </c>
      <c r="AB12" s="241">
        <v>43696</v>
      </c>
      <c r="AC12" s="46"/>
      <c r="AD12" s="46"/>
      <c r="AE12" s="49"/>
      <c r="AF12" s="46"/>
      <c r="AG12" s="46"/>
      <c r="AH12" s="46"/>
      <c r="AI12" s="51"/>
      <c r="AJ12" s="52"/>
      <c r="AK12" s="52"/>
      <c r="AL12" s="52"/>
      <c r="AM12" s="52"/>
      <c r="AN12" s="52"/>
      <c r="AO12" s="52"/>
      <c r="AP12" s="53">
        <f t="shared" si="1"/>
        <v>0</v>
      </c>
      <c r="AQ12" s="54"/>
      <c r="AR12" s="54"/>
      <c r="AS12" s="55"/>
    </row>
    <row r="13" spans="1:45" s="11" customFormat="1">
      <c r="A13" s="40"/>
      <c r="B13" s="41" t="e">
        <f t="shared" ca="1" si="0"/>
        <v>#NAME?</v>
      </c>
      <c r="C13" s="230" t="s">
        <v>415</v>
      </c>
      <c r="D13" s="247" t="s">
        <v>486</v>
      </c>
      <c r="E13" s="44" t="s">
        <v>27</v>
      </c>
      <c r="F13" s="239" t="s">
        <v>401</v>
      </c>
      <c r="G13" s="45"/>
      <c r="H13" s="239" t="s">
        <v>483</v>
      </c>
      <c r="I13" s="242">
        <v>43690</v>
      </c>
      <c r="J13" s="240" t="s">
        <v>479</v>
      </c>
      <c r="K13" s="242">
        <v>43692</v>
      </c>
      <c r="L13" s="244" t="s">
        <v>484</v>
      </c>
      <c r="M13" s="48" t="s">
        <v>445</v>
      </c>
      <c r="N13" s="44" t="s">
        <v>444</v>
      </c>
      <c r="O13" s="45" t="s">
        <v>190</v>
      </c>
      <c r="P13" s="45" t="s">
        <v>191</v>
      </c>
      <c r="Q13" s="45" t="s">
        <v>191</v>
      </c>
      <c r="R13" s="45" t="s">
        <v>218</v>
      </c>
      <c r="S13" s="42"/>
      <c r="T13" s="252" t="s">
        <v>497</v>
      </c>
      <c r="U13" s="44" t="s">
        <v>235</v>
      </c>
      <c r="V13" s="239" t="s">
        <v>26</v>
      </c>
      <c r="W13" s="49"/>
      <c r="X13" s="45" t="s">
        <v>272</v>
      </c>
      <c r="Y13" s="50" t="s">
        <v>195</v>
      </c>
      <c r="Z13" s="251" t="s">
        <v>498</v>
      </c>
      <c r="AA13" s="50" t="s">
        <v>196</v>
      </c>
      <c r="AB13" s="241">
        <v>43696</v>
      </c>
      <c r="AC13" s="46"/>
      <c r="AD13" s="46"/>
      <c r="AE13" s="49"/>
      <c r="AF13" s="46"/>
      <c r="AG13" s="46"/>
      <c r="AH13" s="46"/>
      <c r="AI13" s="51"/>
      <c r="AJ13" s="52"/>
      <c r="AK13" s="52"/>
      <c r="AL13" s="52"/>
      <c r="AM13" s="52"/>
      <c r="AN13" s="52"/>
      <c r="AO13" s="52"/>
      <c r="AP13" s="53">
        <f t="shared" si="1"/>
        <v>0</v>
      </c>
      <c r="AQ13" s="54"/>
      <c r="AR13" s="54"/>
      <c r="AS13" s="55"/>
    </row>
    <row r="14" spans="1:45" s="11" customFormat="1" ht="34.5">
      <c r="A14" s="40"/>
      <c r="B14" s="41" t="e">
        <f t="shared" ca="1" si="0"/>
        <v>#NAME?</v>
      </c>
      <c r="C14" s="230" t="s">
        <v>416</v>
      </c>
      <c r="D14" s="247" t="s">
        <v>488</v>
      </c>
      <c r="E14" s="44" t="s">
        <v>27</v>
      </c>
      <c r="F14" s="239" t="s">
        <v>401</v>
      </c>
      <c r="G14" s="45"/>
      <c r="H14" s="239" t="s">
        <v>483</v>
      </c>
      <c r="I14" s="242">
        <v>43690</v>
      </c>
      <c r="J14" s="240" t="s">
        <v>479</v>
      </c>
      <c r="K14" s="242">
        <v>43692</v>
      </c>
      <c r="L14" s="244" t="s">
        <v>484</v>
      </c>
      <c r="M14" s="48" t="s">
        <v>445</v>
      </c>
      <c r="N14" s="44" t="s">
        <v>444</v>
      </c>
      <c r="O14" s="45" t="s">
        <v>190</v>
      </c>
      <c r="P14" s="45" t="s">
        <v>191</v>
      </c>
      <c r="Q14" s="45" t="s">
        <v>191</v>
      </c>
      <c r="R14" s="45" t="s">
        <v>218</v>
      </c>
      <c r="S14" s="42"/>
      <c r="T14" s="252" t="s">
        <v>489</v>
      </c>
      <c r="U14" s="44" t="s">
        <v>244</v>
      </c>
      <c r="V14" s="239" t="s">
        <v>26</v>
      </c>
      <c r="W14" s="49"/>
      <c r="X14" s="45" t="s">
        <v>272</v>
      </c>
      <c r="Y14" s="50" t="s">
        <v>195</v>
      </c>
      <c r="Z14" s="246" t="s">
        <v>490</v>
      </c>
      <c r="AA14" s="50" t="s">
        <v>196</v>
      </c>
      <c r="AB14" s="241">
        <v>43696</v>
      </c>
      <c r="AC14" s="46"/>
      <c r="AD14" s="46"/>
      <c r="AE14" s="49"/>
      <c r="AF14" s="46"/>
      <c r="AG14" s="46"/>
      <c r="AH14" s="46"/>
      <c r="AI14" s="51"/>
      <c r="AJ14" s="52"/>
      <c r="AK14" s="52"/>
      <c r="AL14" s="52"/>
      <c r="AM14" s="52"/>
      <c r="AN14" s="52"/>
      <c r="AO14" s="52"/>
      <c r="AP14" s="53">
        <f t="shared" si="1"/>
        <v>0</v>
      </c>
      <c r="AQ14" s="54"/>
      <c r="AR14" s="54"/>
      <c r="AS14" s="55"/>
    </row>
    <row r="15" spans="1:45" s="11" customFormat="1">
      <c r="A15" s="40"/>
      <c r="B15" s="41" t="e">
        <f t="shared" ca="1" si="0"/>
        <v>#NAME?</v>
      </c>
      <c r="C15" s="230" t="s">
        <v>417</v>
      </c>
      <c r="D15" s="247" t="s">
        <v>500</v>
      </c>
      <c r="E15" s="44" t="s">
        <v>27</v>
      </c>
      <c r="F15" s="239" t="s">
        <v>401</v>
      </c>
      <c r="G15" s="45"/>
      <c r="H15" s="239" t="s">
        <v>491</v>
      </c>
      <c r="I15" s="242">
        <v>43699</v>
      </c>
      <c r="J15" s="240" t="s">
        <v>454</v>
      </c>
      <c r="K15" s="242">
        <v>43699</v>
      </c>
      <c r="L15" s="244" t="s">
        <v>465</v>
      </c>
      <c r="M15" s="48" t="s">
        <v>445</v>
      </c>
      <c r="N15" s="44" t="s">
        <v>444</v>
      </c>
      <c r="O15" s="45" t="s">
        <v>190</v>
      </c>
      <c r="P15" s="45" t="s">
        <v>191</v>
      </c>
      <c r="Q15" s="45" t="s">
        <v>191</v>
      </c>
      <c r="R15" s="45" t="s">
        <v>218</v>
      </c>
      <c r="S15" s="42"/>
      <c r="T15" s="245" t="s">
        <v>492</v>
      </c>
      <c r="U15" s="44" t="s">
        <v>231</v>
      </c>
      <c r="V15" s="239" t="s">
        <v>26</v>
      </c>
      <c r="W15" s="49"/>
      <c r="X15" s="45" t="s">
        <v>272</v>
      </c>
      <c r="Y15" s="50" t="s">
        <v>195</v>
      </c>
      <c r="Z15" s="246" t="s">
        <v>493</v>
      </c>
      <c r="AA15" s="50" t="s">
        <v>196</v>
      </c>
      <c r="AB15" s="242">
        <v>43699</v>
      </c>
      <c r="AC15" s="46"/>
      <c r="AD15" s="46"/>
      <c r="AE15" s="49"/>
      <c r="AF15" s="46"/>
      <c r="AG15" s="46"/>
      <c r="AH15" s="46"/>
      <c r="AI15" s="51"/>
      <c r="AJ15" s="52"/>
      <c r="AK15" s="52"/>
      <c r="AL15" s="52"/>
      <c r="AM15" s="52"/>
      <c r="AN15" s="52"/>
      <c r="AO15" s="52"/>
      <c r="AP15" s="53">
        <f t="shared" si="1"/>
        <v>0</v>
      </c>
      <c r="AQ15" s="54"/>
      <c r="AR15" s="54"/>
      <c r="AS15" s="55"/>
    </row>
    <row r="16" spans="1:45" s="11" customFormat="1">
      <c r="A16" s="40"/>
      <c r="B16" s="41" t="e">
        <f t="shared" ca="1" si="0"/>
        <v>#NAME?</v>
      </c>
      <c r="C16" s="230" t="s">
        <v>418</v>
      </c>
      <c r="D16" s="247" t="s">
        <v>496</v>
      </c>
      <c r="E16" s="44" t="s">
        <v>27</v>
      </c>
      <c r="F16" s="239" t="s">
        <v>401</v>
      </c>
      <c r="G16" s="45"/>
      <c r="H16" s="239" t="s">
        <v>491</v>
      </c>
      <c r="I16" s="242">
        <v>43699</v>
      </c>
      <c r="J16" s="240" t="s">
        <v>454</v>
      </c>
      <c r="K16" s="242">
        <v>43699</v>
      </c>
      <c r="L16" s="244" t="s">
        <v>465</v>
      </c>
      <c r="M16" s="48" t="s">
        <v>445</v>
      </c>
      <c r="N16" s="44" t="s">
        <v>444</v>
      </c>
      <c r="O16" s="45" t="s">
        <v>190</v>
      </c>
      <c r="P16" s="45" t="s">
        <v>191</v>
      </c>
      <c r="Q16" s="45" t="s">
        <v>191</v>
      </c>
      <c r="R16" s="45" t="s">
        <v>204</v>
      </c>
      <c r="S16" s="42"/>
      <c r="T16" s="245" t="s">
        <v>494</v>
      </c>
      <c r="U16" s="44" t="s">
        <v>244</v>
      </c>
      <c r="V16" s="239" t="s">
        <v>26</v>
      </c>
      <c r="W16" s="49"/>
      <c r="X16" s="45" t="s">
        <v>272</v>
      </c>
      <c r="Y16" s="50" t="s">
        <v>195</v>
      </c>
      <c r="Z16" s="245" t="s">
        <v>495</v>
      </c>
      <c r="AA16" s="50" t="s">
        <v>196</v>
      </c>
      <c r="AB16" s="242">
        <v>43703</v>
      </c>
      <c r="AC16" s="46"/>
      <c r="AD16" s="46"/>
      <c r="AE16" s="49"/>
      <c r="AF16" s="46"/>
      <c r="AG16" s="46"/>
      <c r="AH16" s="46"/>
      <c r="AI16" s="51"/>
      <c r="AJ16" s="52"/>
      <c r="AK16" s="52"/>
      <c r="AL16" s="52"/>
      <c r="AM16" s="52"/>
      <c r="AN16" s="52"/>
      <c r="AO16" s="52"/>
      <c r="AP16" s="53">
        <f t="shared" si="1"/>
        <v>0</v>
      </c>
      <c r="AQ16" s="54"/>
      <c r="AR16" s="54"/>
      <c r="AS16" s="55"/>
    </row>
    <row r="17" spans="1:45" s="11" customFormat="1">
      <c r="A17" s="40"/>
      <c r="B17" s="41" t="e">
        <f t="shared" ca="1" si="0"/>
        <v>#NAME?</v>
      </c>
      <c r="C17" s="230" t="s">
        <v>419</v>
      </c>
      <c r="D17" s="247" t="s">
        <v>501</v>
      </c>
      <c r="E17" s="44" t="s">
        <v>27</v>
      </c>
      <c r="F17" s="239" t="s">
        <v>401</v>
      </c>
      <c r="G17" s="45"/>
      <c r="H17" s="239" t="s">
        <v>491</v>
      </c>
      <c r="I17" s="242">
        <v>43699</v>
      </c>
      <c r="J17" s="240" t="s">
        <v>454</v>
      </c>
      <c r="K17" s="242">
        <v>43699</v>
      </c>
      <c r="L17" s="244" t="s">
        <v>465</v>
      </c>
      <c r="M17" s="48" t="s">
        <v>445</v>
      </c>
      <c r="N17" s="44" t="s">
        <v>444</v>
      </c>
      <c r="O17" s="45" t="s">
        <v>190</v>
      </c>
      <c r="P17" s="45" t="s">
        <v>191</v>
      </c>
      <c r="Q17" s="45" t="s">
        <v>191</v>
      </c>
      <c r="R17" s="45" t="s">
        <v>218</v>
      </c>
      <c r="S17" s="42"/>
      <c r="T17" s="252" t="s">
        <v>497</v>
      </c>
      <c r="U17" s="44" t="s">
        <v>235</v>
      </c>
      <c r="V17" s="239" t="s">
        <v>26</v>
      </c>
      <c r="W17" s="49"/>
      <c r="X17" s="45" t="s">
        <v>272</v>
      </c>
      <c r="Y17" s="50" t="s">
        <v>195</v>
      </c>
      <c r="Z17" s="245" t="s">
        <v>499</v>
      </c>
      <c r="AA17" s="50" t="s">
        <v>196</v>
      </c>
      <c r="AB17" s="242">
        <v>43699</v>
      </c>
      <c r="AC17" s="46"/>
      <c r="AD17" s="46"/>
      <c r="AE17" s="49"/>
      <c r="AF17" s="46"/>
      <c r="AG17" s="46"/>
      <c r="AH17" s="46"/>
      <c r="AI17" s="51"/>
      <c r="AJ17" s="52"/>
      <c r="AK17" s="52"/>
      <c r="AL17" s="52"/>
      <c r="AM17" s="52"/>
      <c r="AN17" s="52"/>
      <c r="AO17" s="52"/>
      <c r="AP17" s="53">
        <f t="shared" si="1"/>
        <v>0</v>
      </c>
      <c r="AQ17" s="54"/>
      <c r="AR17" s="54"/>
      <c r="AS17" s="55"/>
    </row>
    <row r="18" spans="1:45" s="11" customFormat="1" ht="40.5">
      <c r="A18" s="40"/>
      <c r="B18" s="41" t="e">
        <f t="shared" ca="1" si="0"/>
        <v>#NAME?</v>
      </c>
      <c r="C18" s="230" t="s">
        <v>420</v>
      </c>
      <c r="D18" s="249" t="s">
        <v>502</v>
      </c>
      <c r="E18" s="44" t="s">
        <v>27</v>
      </c>
      <c r="F18" s="239" t="s">
        <v>401</v>
      </c>
      <c r="G18" s="45"/>
      <c r="H18" s="239" t="s">
        <v>491</v>
      </c>
      <c r="I18" s="242">
        <v>43699</v>
      </c>
      <c r="J18" s="240" t="s">
        <v>454</v>
      </c>
      <c r="K18" s="242">
        <v>43707</v>
      </c>
      <c r="L18" s="240" t="s">
        <v>447</v>
      </c>
      <c r="M18" s="48" t="s">
        <v>445</v>
      </c>
      <c r="N18" s="44" t="s">
        <v>444</v>
      </c>
      <c r="O18" s="45" t="s">
        <v>190</v>
      </c>
      <c r="P18" s="45" t="s">
        <v>191</v>
      </c>
      <c r="Q18" s="45" t="s">
        <v>191</v>
      </c>
      <c r="R18" s="45" t="s">
        <v>218</v>
      </c>
      <c r="S18" s="42"/>
      <c r="T18" s="250" t="s">
        <v>503</v>
      </c>
      <c r="U18" s="44" t="s">
        <v>244</v>
      </c>
      <c r="V18" s="239" t="s">
        <v>26</v>
      </c>
      <c r="W18" s="49"/>
      <c r="X18" s="45" t="s">
        <v>272</v>
      </c>
      <c r="Y18" s="50" t="s">
        <v>195</v>
      </c>
      <c r="Z18" s="245" t="s">
        <v>504</v>
      </c>
      <c r="AA18" s="50" t="s">
        <v>196</v>
      </c>
      <c r="AB18" s="242">
        <v>43707</v>
      </c>
      <c r="AC18" s="46"/>
      <c r="AD18" s="46"/>
      <c r="AE18" s="49"/>
      <c r="AF18" s="46"/>
      <c r="AG18" s="46"/>
      <c r="AH18" s="46"/>
      <c r="AI18" s="51"/>
      <c r="AJ18" s="52"/>
      <c r="AK18" s="52"/>
      <c r="AL18" s="52"/>
      <c r="AM18" s="52"/>
      <c r="AN18" s="52"/>
      <c r="AO18" s="52"/>
      <c r="AP18" s="53">
        <f t="shared" si="1"/>
        <v>0</v>
      </c>
      <c r="AQ18" s="54"/>
      <c r="AR18" s="54"/>
      <c r="AS18" s="55"/>
    </row>
    <row r="19" spans="1:45" s="11" customFormat="1" ht="14.25">
      <c r="A19" s="40"/>
      <c r="B19" s="41" t="e">
        <f t="shared" ca="1" si="0"/>
        <v>#NAME?</v>
      </c>
      <c r="C19" s="230" t="s">
        <v>421</v>
      </c>
      <c r="D19" s="247"/>
      <c r="E19" s="44"/>
      <c r="F19" s="239"/>
      <c r="G19" s="45"/>
      <c r="H19" s="239"/>
      <c r="I19" s="242"/>
      <c r="J19" s="240"/>
      <c r="K19" s="242"/>
      <c r="L19" s="244"/>
      <c r="M19" s="48"/>
      <c r="N19" s="44"/>
      <c r="O19" s="45"/>
      <c r="P19" s="45"/>
      <c r="Q19" s="45"/>
      <c r="R19" s="45"/>
      <c r="S19" s="42"/>
      <c r="T19" s="250"/>
      <c r="U19" s="44"/>
      <c r="V19" s="239"/>
      <c r="W19" s="49"/>
      <c r="X19" s="45"/>
      <c r="Y19" s="50"/>
      <c r="Z19" s="250"/>
      <c r="AA19" s="50"/>
      <c r="AB19" s="242"/>
      <c r="AC19" s="46"/>
      <c r="AD19" s="46"/>
      <c r="AE19" s="49"/>
      <c r="AF19" s="46"/>
      <c r="AG19" s="46"/>
      <c r="AH19" s="46"/>
      <c r="AI19" s="51"/>
      <c r="AJ19" s="52"/>
      <c r="AK19" s="52"/>
      <c r="AL19" s="52"/>
      <c r="AM19" s="52"/>
      <c r="AN19" s="52"/>
      <c r="AO19" s="52"/>
      <c r="AP19" s="53">
        <f t="shared" si="1"/>
        <v>0</v>
      </c>
      <c r="AQ19" s="54"/>
      <c r="AR19" s="54"/>
      <c r="AS19" s="55"/>
    </row>
    <row r="20" spans="1:45" s="11" customFormat="1" ht="14.25">
      <c r="A20" s="40"/>
      <c r="B20" s="41" t="e">
        <f t="shared" ca="1" si="0"/>
        <v>#NAME?</v>
      </c>
      <c r="C20" s="230" t="s">
        <v>422</v>
      </c>
      <c r="D20" s="249"/>
      <c r="E20" s="44"/>
      <c r="F20" s="239"/>
      <c r="G20" s="45"/>
      <c r="H20" s="239"/>
      <c r="I20" s="242"/>
      <c r="J20" s="240"/>
      <c r="K20" s="242"/>
      <c r="L20" s="244"/>
      <c r="M20" s="48"/>
      <c r="N20" s="44"/>
      <c r="O20" s="45"/>
      <c r="P20" s="45"/>
      <c r="Q20" s="45"/>
      <c r="R20" s="45"/>
      <c r="S20" s="42"/>
      <c r="T20" s="250"/>
      <c r="U20" s="44"/>
      <c r="V20" s="239"/>
      <c r="W20" s="49"/>
      <c r="X20" s="45"/>
      <c r="Y20" s="50"/>
      <c r="Z20" s="250"/>
      <c r="AA20" s="50"/>
      <c r="AB20" s="242"/>
      <c r="AC20" s="46"/>
      <c r="AD20" s="46"/>
      <c r="AE20" s="49"/>
      <c r="AF20" s="46"/>
      <c r="AG20" s="46"/>
      <c r="AH20" s="46"/>
      <c r="AI20" s="51"/>
      <c r="AJ20" s="52"/>
      <c r="AK20" s="52"/>
      <c r="AL20" s="52"/>
      <c r="AM20" s="52"/>
      <c r="AN20" s="52"/>
      <c r="AO20" s="52"/>
      <c r="AP20" s="53">
        <f t="shared" si="1"/>
        <v>0</v>
      </c>
      <c r="AQ20" s="54"/>
      <c r="AR20" s="54"/>
      <c r="AS20" s="55"/>
    </row>
    <row r="21" spans="1:45" s="11" customFormat="1" ht="14.25">
      <c r="A21" s="40"/>
      <c r="B21" s="41" t="e">
        <f t="shared" ca="1" si="0"/>
        <v>#NAME?</v>
      </c>
      <c r="C21" s="230" t="s">
        <v>423</v>
      </c>
      <c r="D21" s="247"/>
      <c r="E21" s="44"/>
      <c r="F21" s="239"/>
      <c r="G21" s="45"/>
      <c r="H21" s="239"/>
      <c r="I21" s="242"/>
      <c r="J21" s="240"/>
      <c r="K21" s="242"/>
      <c r="L21" s="244"/>
      <c r="M21" s="48"/>
      <c r="N21" s="44"/>
      <c r="O21" s="45"/>
      <c r="P21" s="45"/>
      <c r="Q21" s="45"/>
      <c r="R21" s="45"/>
      <c r="S21" s="42"/>
      <c r="T21" s="245"/>
      <c r="U21" s="44"/>
      <c r="V21" s="239"/>
      <c r="W21" s="49"/>
      <c r="X21" s="45"/>
      <c r="Y21" s="50"/>
      <c r="Z21" s="245"/>
      <c r="AA21" s="50"/>
      <c r="AB21" s="242"/>
      <c r="AC21" s="46"/>
      <c r="AD21" s="46"/>
      <c r="AE21" s="49"/>
      <c r="AF21" s="46"/>
      <c r="AG21" s="46"/>
      <c r="AH21" s="46"/>
      <c r="AI21" s="51"/>
      <c r="AJ21" s="52"/>
      <c r="AK21" s="52"/>
      <c r="AL21" s="52"/>
      <c r="AM21" s="52"/>
      <c r="AN21" s="52"/>
      <c r="AO21" s="52"/>
      <c r="AP21" s="53">
        <f t="shared" si="1"/>
        <v>0</v>
      </c>
      <c r="AQ21" s="54"/>
      <c r="AR21" s="54"/>
      <c r="AS21" s="55"/>
    </row>
    <row r="22" spans="1:45" s="11" customFormat="1" ht="14.25">
      <c r="A22" s="40"/>
      <c r="B22" s="41" t="e">
        <f t="shared" ca="1" si="0"/>
        <v>#NAME?</v>
      </c>
      <c r="C22" s="230" t="s">
        <v>424</v>
      </c>
      <c r="D22" s="247"/>
      <c r="E22" s="44"/>
      <c r="F22" s="239"/>
      <c r="G22" s="45"/>
      <c r="H22" s="239"/>
      <c r="I22" s="242"/>
      <c r="J22" s="244"/>
      <c r="K22" s="242"/>
      <c r="L22" s="240"/>
      <c r="M22" s="48"/>
      <c r="N22" s="44"/>
      <c r="O22" s="45"/>
      <c r="P22" s="45"/>
      <c r="Q22" s="45"/>
      <c r="R22" s="45"/>
      <c r="S22" s="42"/>
      <c r="T22" s="245"/>
      <c r="U22" s="44"/>
      <c r="V22" s="239"/>
      <c r="W22" s="49"/>
      <c r="X22" s="45"/>
      <c r="Y22" s="50"/>
      <c r="Z22" s="245"/>
      <c r="AA22" s="50"/>
      <c r="AB22" s="242"/>
      <c r="AC22" s="46"/>
      <c r="AD22" s="46"/>
      <c r="AE22" s="49"/>
      <c r="AF22" s="46"/>
      <c r="AG22" s="46"/>
      <c r="AH22" s="46"/>
      <c r="AI22" s="51"/>
      <c r="AJ22" s="52"/>
      <c r="AK22" s="52"/>
      <c r="AL22" s="52"/>
      <c r="AM22" s="52"/>
      <c r="AN22" s="52"/>
      <c r="AO22" s="52"/>
      <c r="AP22" s="53">
        <f t="shared" si="1"/>
        <v>0</v>
      </c>
      <c r="AQ22" s="54"/>
      <c r="AR22" s="54"/>
      <c r="AS22" s="55"/>
    </row>
    <row r="23" spans="1:45" s="11" customFormat="1" ht="14.25">
      <c r="A23" s="40"/>
      <c r="B23" s="41" t="e">
        <f t="shared" ca="1" si="0"/>
        <v>#NAME?</v>
      </c>
      <c r="C23" s="230" t="s">
        <v>425</v>
      </c>
      <c r="D23" s="249"/>
      <c r="E23" s="44"/>
      <c r="F23" s="239"/>
      <c r="G23" s="45"/>
      <c r="H23" s="239"/>
      <c r="I23" s="242"/>
      <c r="J23" s="244"/>
      <c r="K23" s="242"/>
      <c r="L23" s="240"/>
      <c r="M23" s="48"/>
      <c r="N23" s="44"/>
      <c r="O23" s="45"/>
      <c r="P23" s="45"/>
      <c r="Q23" s="45"/>
      <c r="R23" s="45"/>
      <c r="S23" s="42"/>
      <c r="T23" s="245"/>
      <c r="U23" s="44"/>
      <c r="V23" s="239"/>
      <c r="W23" s="49"/>
      <c r="X23" s="45"/>
      <c r="Y23" s="50"/>
      <c r="Z23" s="251"/>
      <c r="AA23" s="50"/>
      <c r="AB23" s="242"/>
      <c r="AC23" s="46"/>
      <c r="AD23" s="46"/>
      <c r="AE23" s="49"/>
      <c r="AF23" s="46"/>
      <c r="AG23" s="46"/>
      <c r="AH23" s="46"/>
      <c r="AI23" s="51"/>
      <c r="AJ23" s="52"/>
      <c r="AK23" s="52"/>
      <c r="AL23" s="52"/>
      <c r="AM23" s="52"/>
      <c r="AN23" s="52"/>
      <c r="AO23" s="52"/>
      <c r="AP23" s="53">
        <f t="shared" si="1"/>
        <v>0</v>
      </c>
      <c r="AQ23" s="54"/>
      <c r="AR23" s="54"/>
      <c r="AS23" s="55"/>
    </row>
    <row r="24" spans="1:45" s="11" customFormat="1" ht="14.25">
      <c r="A24" s="40"/>
      <c r="B24" s="41" t="e">
        <f t="shared" ca="1" si="0"/>
        <v>#NAME?</v>
      </c>
      <c r="C24" s="230" t="s">
        <v>426</v>
      </c>
      <c r="D24" s="247"/>
      <c r="E24" s="44"/>
      <c r="F24" s="239"/>
      <c r="G24" s="45"/>
      <c r="H24" s="239"/>
      <c r="I24" s="242"/>
      <c r="J24" s="244"/>
      <c r="K24" s="242"/>
      <c r="L24" s="244"/>
      <c r="M24" s="48"/>
      <c r="N24" s="44"/>
      <c r="O24" s="45"/>
      <c r="P24" s="45"/>
      <c r="Q24" s="45"/>
      <c r="R24" s="45"/>
      <c r="S24" s="42"/>
      <c r="T24" s="245"/>
      <c r="U24" s="44"/>
      <c r="V24" s="239"/>
      <c r="W24" s="49"/>
      <c r="X24" s="45"/>
      <c r="Y24" s="50"/>
      <c r="Z24" s="246"/>
      <c r="AA24" s="50"/>
      <c r="AB24" s="241"/>
      <c r="AC24" s="46"/>
      <c r="AD24" s="46"/>
      <c r="AE24" s="49"/>
      <c r="AF24" s="46"/>
      <c r="AG24" s="46"/>
      <c r="AH24" s="46"/>
      <c r="AI24" s="51"/>
      <c r="AJ24" s="52"/>
      <c r="AK24" s="52"/>
      <c r="AL24" s="52"/>
      <c r="AM24" s="52"/>
      <c r="AN24" s="52"/>
      <c r="AO24" s="52"/>
      <c r="AP24" s="53">
        <f t="shared" si="1"/>
        <v>0</v>
      </c>
      <c r="AQ24" s="54"/>
      <c r="AR24" s="54"/>
      <c r="AS24" s="55"/>
    </row>
    <row r="25" spans="1:45" s="11" customFormat="1" ht="14.25">
      <c r="A25" s="40"/>
      <c r="B25" s="41" t="e">
        <f t="shared" ca="1" si="0"/>
        <v>#NAME?</v>
      </c>
      <c r="C25" s="230" t="s">
        <v>427</v>
      </c>
      <c r="D25" s="247"/>
      <c r="E25" s="44"/>
      <c r="F25" s="239"/>
      <c r="G25" s="45"/>
      <c r="H25" s="239"/>
      <c r="I25" s="242"/>
      <c r="J25" s="244"/>
      <c r="K25" s="242"/>
      <c r="L25" s="244"/>
      <c r="M25" s="48"/>
      <c r="N25" s="44"/>
      <c r="O25" s="45"/>
      <c r="P25" s="45"/>
      <c r="Q25" s="45"/>
      <c r="R25" s="45"/>
      <c r="S25" s="42"/>
      <c r="T25" s="250"/>
      <c r="U25" s="44"/>
      <c r="V25" s="239"/>
      <c r="W25" s="49"/>
      <c r="X25" s="45"/>
      <c r="Y25" s="50"/>
      <c r="Z25" s="251"/>
      <c r="AA25" s="50"/>
      <c r="AB25" s="242"/>
      <c r="AC25" s="46"/>
      <c r="AD25" s="46"/>
      <c r="AE25" s="49"/>
      <c r="AF25" s="46"/>
      <c r="AG25" s="46"/>
      <c r="AH25" s="46"/>
      <c r="AI25" s="51"/>
      <c r="AJ25" s="52"/>
      <c r="AK25" s="52"/>
      <c r="AL25" s="52"/>
      <c r="AM25" s="52"/>
      <c r="AN25" s="52"/>
      <c r="AO25" s="52"/>
      <c r="AP25" s="53">
        <f t="shared" si="1"/>
        <v>0</v>
      </c>
      <c r="AQ25" s="54"/>
      <c r="AR25" s="54"/>
      <c r="AS25" s="55"/>
    </row>
    <row r="26" spans="1:45" s="11" customFormat="1" ht="14.25">
      <c r="A26" s="40"/>
      <c r="B26" s="41" t="e">
        <f t="shared" ca="1" si="0"/>
        <v>#NAME?</v>
      </c>
      <c r="C26" s="230" t="s">
        <v>428</v>
      </c>
      <c r="D26" s="247"/>
      <c r="E26" s="44"/>
      <c r="F26" s="239"/>
      <c r="G26" s="45"/>
      <c r="H26" s="239"/>
      <c r="I26" s="240"/>
      <c r="J26" s="240"/>
      <c r="K26" s="241"/>
      <c r="L26" s="244"/>
      <c r="M26" s="48"/>
      <c r="N26" s="44"/>
      <c r="O26" s="45"/>
      <c r="P26" s="45"/>
      <c r="Q26" s="45"/>
      <c r="R26" s="45"/>
      <c r="S26" s="42"/>
      <c r="T26" s="245"/>
      <c r="U26" s="44"/>
      <c r="V26" s="239"/>
      <c r="W26" s="49"/>
      <c r="X26" s="45"/>
      <c r="Y26" s="50"/>
      <c r="Z26" s="246"/>
      <c r="AA26" s="50"/>
      <c r="AB26" s="241"/>
      <c r="AC26" s="46"/>
      <c r="AD26" s="46"/>
      <c r="AE26" s="49"/>
      <c r="AF26" s="46"/>
      <c r="AG26" s="46"/>
      <c r="AH26" s="46"/>
      <c r="AI26" s="51"/>
      <c r="AJ26" s="52"/>
      <c r="AK26" s="52"/>
      <c r="AL26" s="52"/>
      <c r="AM26" s="52"/>
      <c r="AN26" s="52"/>
      <c r="AO26" s="52"/>
      <c r="AP26" s="53">
        <f t="shared" si="1"/>
        <v>0</v>
      </c>
      <c r="AQ26" s="54"/>
      <c r="AR26" s="54"/>
      <c r="AS26" s="55"/>
    </row>
    <row r="27" spans="1:45" s="11" customFormat="1" ht="14.25">
      <c r="A27" s="40"/>
      <c r="B27" s="41" t="e">
        <f t="shared" ca="1" si="0"/>
        <v>#NAME?</v>
      </c>
      <c r="C27" s="230" t="s">
        <v>429</v>
      </c>
      <c r="D27" s="247"/>
      <c r="E27" s="44"/>
      <c r="F27" s="239"/>
      <c r="G27" s="45"/>
      <c r="H27" s="239"/>
      <c r="I27" s="240"/>
      <c r="J27" s="240"/>
      <c r="K27" s="241"/>
      <c r="L27" s="244"/>
      <c r="M27" s="48"/>
      <c r="N27" s="44"/>
      <c r="O27" s="45"/>
      <c r="P27" s="45"/>
      <c r="Q27" s="45"/>
      <c r="R27" s="45"/>
      <c r="S27" s="42"/>
      <c r="T27" s="245"/>
      <c r="U27" s="44"/>
      <c r="V27" s="239"/>
      <c r="W27" s="49"/>
      <c r="X27" s="45"/>
      <c r="Y27" s="50"/>
      <c r="Z27" s="246"/>
      <c r="AA27" s="50"/>
      <c r="AB27" s="241"/>
      <c r="AC27" s="46"/>
      <c r="AD27" s="46"/>
      <c r="AE27" s="49"/>
      <c r="AF27" s="46"/>
      <c r="AG27" s="46"/>
      <c r="AH27" s="46"/>
      <c r="AI27" s="51"/>
      <c r="AJ27" s="52"/>
      <c r="AK27" s="52"/>
      <c r="AL27" s="52"/>
      <c r="AM27" s="52"/>
      <c r="AN27" s="52"/>
      <c r="AO27" s="52"/>
      <c r="AP27" s="53">
        <f t="shared" si="1"/>
        <v>0</v>
      </c>
      <c r="AQ27" s="54"/>
      <c r="AR27" s="54"/>
      <c r="AS27" s="55"/>
    </row>
    <row r="28" spans="1:45" s="11" customFormat="1" ht="14.25">
      <c r="A28" s="40"/>
      <c r="B28" s="41" t="e">
        <f t="shared" ca="1" si="0"/>
        <v>#NAME?</v>
      </c>
      <c r="C28" s="230" t="s">
        <v>430</v>
      </c>
      <c r="D28" s="247"/>
      <c r="E28" s="44"/>
      <c r="F28" s="239"/>
      <c r="G28" s="45"/>
      <c r="H28" s="239"/>
      <c r="I28" s="240"/>
      <c r="J28" s="240"/>
      <c r="K28" s="241"/>
      <c r="L28" s="244"/>
      <c r="M28" s="48"/>
      <c r="N28" s="44"/>
      <c r="O28" s="45"/>
      <c r="P28" s="45"/>
      <c r="Q28" s="45"/>
      <c r="R28" s="45"/>
      <c r="S28" s="42"/>
      <c r="T28" s="245"/>
      <c r="U28" s="44"/>
      <c r="V28" s="239"/>
      <c r="W28" s="49"/>
      <c r="X28" s="45"/>
      <c r="Y28" s="50"/>
      <c r="Z28" s="246"/>
      <c r="AA28" s="50"/>
      <c r="AB28" s="241"/>
      <c r="AC28" s="46"/>
      <c r="AD28" s="46"/>
      <c r="AE28" s="49"/>
      <c r="AF28" s="46"/>
      <c r="AG28" s="46"/>
      <c r="AH28" s="46"/>
      <c r="AI28" s="51"/>
      <c r="AJ28" s="52"/>
      <c r="AK28" s="52"/>
      <c r="AL28" s="52"/>
      <c r="AM28" s="52"/>
      <c r="AN28" s="52"/>
      <c r="AO28" s="52"/>
      <c r="AP28" s="53">
        <f t="shared" si="1"/>
        <v>0</v>
      </c>
      <c r="AQ28" s="54"/>
      <c r="AR28" s="54"/>
      <c r="AS28" s="55"/>
    </row>
    <row r="29" spans="1:45" s="11" customFormat="1" ht="14.25">
      <c r="A29" s="40"/>
      <c r="B29" s="41" t="e">
        <f t="shared" ca="1" si="0"/>
        <v>#NAME?</v>
      </c>
      <c r="C29" s="230" t="s">
        <v>431</v>
      </c>
      <c r="D29" s="247"/>
      <c r="E29" s="44"/>
      <c r="F29" s="239"/>
      <c r="G29" s="45"/>
      <c r="H29" s="239"/>
      <c r="I29" s="240"/>
      <c r="J29" s="240"/>
      <c r="K29" s="241"/>
      <c r="L29" s="244"/>
      <c r="M29" s="48"/>
      <c r="N29" s="44"/>
      <c r="O29" s="45"/>
      <c r="P29" s="45"/>
      <c r="Q29" s="45"/>
      <c r="R29" s="45"/>
      <c r="S29" s="42"/>
      <c r="T29" s="245"/>
      <c r="U29" s="44"/>
      <c r="V29" s="239"/>
      <c r="W29" s="49"/>
      <c r="X29" s="45"/>
      <c r="Y29" s="50"/>
      <c r="Z29" s="246"/>
      <c r="AA29" s="50"/>
      <c r="AB29" s="241"/>
      <c r="AC29" s="46"/>
      <c r="AD29" s="46"/>
      <c r="AE29" s="49"/>
      <c r="AF29" s="46"/>
      <c r="AG29" s="46"/>
      <c r="AH29" s="46"/>
      <c r="AI29" s="51"/>
      <c r="AJ29" s="52"/>
      <c r="AK29" s="52"/>
      <c r="AL29" s="52"/>
      <c r="AM29" s="52"/>
      <c r="AN29" s="52"/>
      <c r="AO29" s="52"/>
      <c r="AP29" s="53">
        <f t="shared" si="1"/>
        <v>0</v>
      </c>
      <c r="AQ29" s="54"/>
      <c r="AR29" s="54"/>
      <c r="AS29" s="55"/>
    </row>
    <row r="30" spans="1:45" s="11" customFormat="1" ht="14.25">
      <c r="A30" s="40"/>
      <c r="B30" s="41" t="e">
        <f t="shared" ca="1" si="0"/>
        <v>#NAME?</v>
      </c>
      <c r="C30" s="230" t="s">
        <v>432</v>
      </c>
      <c r="D30" s="247"/>
      <c r="E30" s="44"/>
      <c r="F30" s="239"/>
      <c r="G30" s="45"/>
      <c r="H30" s="239"/>
      <c r="I30" s="240"/>
      <c r="J30" s="240"/>
      <c r="K30" s="241"/>
      <c r="L30" s="244"/>
      <c r="M30" s="48"/>
      <c r="N30" s="44"/>
      <c r="O30" s="45"/>
      <c r="P30" s="45"/>
      <c r="Q30" s="45"/>
      <c r="R30" s="45"/>
      <c r="S30" s="42"/>
      <c r="T30" s="245"/>
      <c r="U30" s="44"/>
      <c r="V30" s="239"/>
      <c r="W30" s="49"/>
      <c r="X30" s="45"/>
      <c r="Y30" s="50"/>
      <c r="Z30" s="246"/>
      <c r="AA30" s="50"/>
      <c r="AB30" s="241"/>
      <c r="AC30" s="46"/>
      <c r="AD30" s="46"/>
      <c r="AE30" s="49"/>
      <c r="AF30" s="46"/>
      <c r="AG30" s="46"/>
      <c r="AH30" s="46"/>
      <c r="AI30" s="51"/>
      <c r="AJ30" s="52"/>
      <c r="AK30" s="52"/>
      <c r="AL30" s="52"/>
      <c r="AM30" s="52"/>
      <c r="AN30" s="52"/>
      <c r="AO30" s="52"/>
      <c r="AP30" s="53">
        <f t="shared" si="1"/>
        <v>0</v>
      </c>
      <c r="AQ30" s="54"/>
      <c r="AR30" s="54"/>
      <c r="AS30" s="55"/>
    </row>
    <row r="31" spans="1:45" s="11" customFormat="1" ht="14.25">
      <c r="A31" s="40"/>
      <c r="B31" s="41" t="e">
        <f t="shared" ca="1" si="0"/>
        <v>#NAME?</v>
      </c>
      <c r="C31" s="230" t="s">
        <v>433</v>
      </c>
      <c r="D31" s="247"/>
      <c r="E31" s="44"/>
      <c r="F31" s="239"/>
      <c r="G31" s="45"/>
      <c r="H31" s="239"/>
      <c r="I31" s="240"/>
      <c r="J31" s="240"/>
      <c r="K31" s="241"/>
      <c r="L31" s="244"/>
      <c r="M31" s="48"/>
      <c r="N31" s="44"/>
      <c r="O31" s="45"/>
      <c r="P31" s="45"/>
      <c r="Q31" s="45"/>
      <c r="R31" s="45"/>
      <c r="S31" s="42"/>
      <c r="T31" s="245"/>
      <c r="U31" s="44"/>
      <c r="V31" s="239"/>
      <c r="W31" s="49"/>
      <c r="X31" s="45"/>
      <c r="Y31" s="50"/>
      <c r="Z31" s="246"/>
      <c r="AA31" s="50"/>
      <c r="AB31" s="241"/>
      <c r="AC31" s="46"/>
      <c r="AD31" s="46"/>
      <c r="AE31" s="49"/>
      <c r="AF31" s="46"/>
      <c r="AG31" s="46"/>
      <c r="AH31" s="46"/>
      <c r="AI31" s="51"/>
      <c r="AJ31" s="52"/>
      <c r="AK31" s="52"/>
      <c r="AL31" s="52"/>
      <c r="AM31" s="52"/>
      <c r="AN31" s="52"/>
      <c r="AO31" s="52"/>
      <c r="AP31" s="53">
        <f t="shared" si="1"/>
        <v>0</v>
      </c>
      <c r="AQ31" s="54"/>
      <c r="AR31" s="54"/>
      <c r="AS31" s="55"/>
    </row>
    <row r="32" spans="1:45" s="11" customFormat="1" ht="14.25">
      <c r="A32" s="40"/>
      <c r="B32" s="41" t="e">
        <f t="shared" ca="1" si="0"/>
        <v>#NAME?</v>
      </c>
      <c r="C32" s="230" t="s">
        <v>434</v>
      </c>
      <c r="D32" s="247"/>
      <c r="E32" s="44"/>
      <c r="F32" s="239"/>
      <c r="G32" s="45"/>
      <c r="H32" s="239"/>
      <c r="I32" s="240"/>
      <c r="J32" s="240"/>
      <c r="K32" s="241"/>
      <c r="L32" s="244"/>
      <c r="M32" s="48"/>
      <c r="N32" s="44"/>
      <c r="O32" s="45"/>
      <c r="P32" s="45"/>
      <c r="Q32" s="45"/>
      <c r="R32" s="45"/>
      <c r="S32" s="42"/>
      <c r="T32" s="245"/>
      <c r="U32" s="44"/>
      <c r="V32" s="239"/>
      <c r="W32" s="49"/>
      <c r="X32" s="45"/>
      <c r="Y32" s="50"/>
      <c r="Z32" s="246"/>
      <c r="AA32" s="50"/>
      <c r="AB32" s="241"/>
      <c r="AC32" s="46"/>
      <c r="AD32" s="46"/>
      <c r="AE32" s="49"/>
      <c r="AF32" s="46"/>
      <c r="AG32" s="46"/>
      <c r="AH32" s="46"/>
      <c r="AI32" s="51"/>
      <c r="AJ32" s="52"/>
      <c r="AK32" s="52"/>
      <c r="AL32" s="52"/>
      <c r="AM32" s="52"/>
      <c r="AN32" s="52"/>
      <c r="AO32" s="52"/>
      <c r="AP32" s="53">
        <f t="shared" si="1"/>
        <v>0</v>
      </c>
      <c r="AQ32" s="54"/>
      <c r="AR32" s="54"/>
      <c r="AS32" s="55"/>
    </row>
    <row r="33" spans="1:45" s="11" customFormat="1" ht="14.25">
      <c r="A33" s="40"/>
      <c r="B33" s="41" t="e">
        <f t="shared" ca="1" si="0"/>
        <v>#NAME?</v>
      </c>
      <c r="C33" s="230" t="s">
        <v>435</v>
      </c>
      <c r="D33" s="247"/>
      <c r="E33" s="44"/>
      <c r="F33" s="239"/>
      <c r="G33" s="45"/>
      <c r="H33" s="239"/>
      <c r="I33" s="242"/>
      <c r="J33" s="240"/>
      <c r="K33" s="241"/>
      <c r="L33" s="244"/>
      <c r="M33" s="48"/>
      <c r="N33" s="44"/>
      <c r="O33" s="45"/>
      <c r="P33" s="45"/>
      <c r="Q33" s="45"/>
      <c r="R33" s="45"/>
      <c r="S33" s="42"/>
      <c r="T33" s="247"/>
      <c r="U33" s="44"/>
      <c r="V33" s="239"/>
      <c r="W33" s="49"/>
      <c r="X33" s="45"/>
      <c r="Y33" s="50"/>
      <c r="Z33" s="247"/>
      <c r="AA33" s="50"/>
      <c r="AB33" s="241"/>
      <c r="AC33" s="46"/>
      <c r="AD33" s="46"/>
      <c r="AE33" s="49"/>
      <c r="AF33" s="46"/>
      <c r="AG33" s="46"/>
      <c r="AH33" s="46"/>
      <c r="AI33" s="51"/>
      <c r="AJ33" s="52"/>
      <c r="AK33" s="52"/>
      <c r="AL33" s="52"/>
      <c r="AM33" s="52"/>
      <c r="AN33" s="52"/>
      <c r="AO33" s="52"/>
      <c r="AP33" s="53">
        <f t="shared" si="1"/>
        <v>0</v>
      </c>
      <c r="AQ33" s="54"/>
      <c r="AR33" s="54"/>
      <c r="AS33" s="55"/>
    </row>
    <row r="34" spans="1:45" s="11" customFormat="1" ht="14.25">
      <c r="A34" s="40"/>
      <c r="B34" s="41" t="e">
        <f t="shared" ca="1" si="0"/>
        <v>#NAME?</v>
      </c>
      <c r="C34" s="230" t="s">
        <v>436</v>
      </c>
      <c r="D34" s="247"/>
      <c r="E34" s="44"/>
      <c r="F34" s="45"/>
      <c r="G34" s="45"/>
      <c r="H34" s="230"/>
      <c r="I34" s="248"/>
      <c r="J34" s="240"/>
      <c r="K34" s="243"/>
      <c r="L34" s="244"/>
      <c r="M34" s="48"/>
      <c r="N34" s="44"/>
      <c r="O34" s="45"/>
      <c r="P34" s="45"/>
      <c r="Q34" s="45"/>
      <c r="R34" s="45"/>
      <c r="S34" s="42"/>
      <c r="T34" s="245"/>
      <c r="U34" s="44"/>
      <c r="V34" s="239"/>
      <c r="W34" s="49"/>
      <c r="X34" s="45"/>
      <c r="Y34" s="50"/>
      <c r="Z34" s="247"/>
      <c r="AA34" s="50"/>
      <c r="AB34" s="243"/>
      <c r="AC34" s="46"/>
      <c r="AD34" s="46"/>
      <c r="AE34" s="49"/>
      <c r="AF34" s="46"/>
      <c r="AG34" s="46"/>
      <c r="AH34" s="46"/>
      <c r="AI34" s="51"/>
      <c r="AJ34" s="52"/>
      <c r="AK34" s="52"/>
      <c r="AL34" s="52"/>
      <c r="AM34" s="52"/>
      <c r="AN34" s="52"/>
      <c r="AO34" s="52"/>
      <c r="AP34" s="53">
        <f t="shared" si="1"/>
        <v>0</v>
      </c>
      <c r="AQ34" s="54"/>
      <c r="AR34" s="54"/>
      <c r="AS34" s="55"/>
    </row>
    <row r="35" spans="1:45" s="11" customFormat="1" ht="14.25">
      <c r="A35" s="40"/>
      <c r="B35" s="41" t="e">
        <f t="shared" ca="1" si="0"/>
        <v>#NAME?</v>
      </c>
      <c r="C35" s="230" t="s">
        <v>437</v>
      </c>
      <c r="D35" s="247"/>
      <c r="E35" s="44"/>
      <c r="F35" s="45"/>
      <c r="G35" s="45"/>
      <c r="H35" s="230"/>
      <c r="I35" s="248"/>
      <c r="J35" s="230"/>
      <c r="K35" s="243"/>
      <c r="L35" s="244"/>
      <c r="M35" s="48"/>
      <c r="N35" s="44"/>
      <c r="O35" s="45"/>
      <c r="P35" s="45"/>
      <c r="Q35" s="45"/>
      <c r="R35" s="45"/>
      <c r="S35" s="42"/>
      <c r="T35" s="245"/>
      <c r="U35" s="44"/>
      <c r="V35" s="44"/>
      <c r="W35" s="49"/>
      <c r="X35" s="45"/>
      <c r="Y35" s="50"/>
      <c r="Z35" s="247"/>
      <c r="AA35" s="50"/>
      <c r="AB35" s="243"/>
      <c r="AC35" s="46"/>
      <c r="AD35" s="46"/>
      <c r="AE35" s="49"/>
      <c r="AF35" s="46"/>
      <c r="AG35" s="46"/>
      <c r="AH35" s="46"/>
      <c r="AI35" s="51"/>
      <c r="AJ35" s="52"/>
      <c r="AK35" s="52"/>
      <c r="AL35" s="52"/>
      <c r="AM35" s="52"/>
      <c r="AN35" s="52"/>
      <c r="AO35" s="52"/>
      <c r="AP35" s="53">
        <f t="shared" si="1"/>
        <v>0</v>
      </c>
      <c r="AQ35" s="54"/>
      <c r="AR35" s="54"/>
      <c r="AS35" s="55"/>
    </row>
    <row r="36" spans="1:45" s="11" customFormat="1" ht="14.25">
      <c r="A36" s="40"/>
      <c r="B36" s="41" t="str">
        <f t="shared" si="0"/>
        <v/>
      </c>
      <c r="C36" s="230" t="s">
        <v>438</v>
      </c>
      <c r="D36" s="247"/>
      <c r="E36" s="44"/>
      <c r="F36" s="45"/>
      <c r="G36" s="45"/>
      <c r="H36" s="230"/>
      <c r="I36" s="248"/>
      <c r="J36" s="230"/>
      <c r="K36" s="243"/>
      <c r="L36" s="244"/>
      <c r="M36" s="48"/>
      <c r="N36" s="44"/>
      <c r="O36" s="45"/>
      <c r="P36" s="45"/>
      <c r="Q36" s="45"/>
      <c r="R36" s="45"/>
      <c r="S36" s="42"/>
      <c r="T36" s="245"/>
      <c r="U36" s="44"/>
      <c r="V36" s="44"/>
      <c r="W36" s="49"/>
      <c r="X36" s="45"/>
      <c r="Y36" s="50"/>
      <c r="Z36" s="247"/>
      <c r="AA36" s="50"/>
      <c r="AB36" s="243"/>
      <c r="AC36" s="46"/>
      <c r="AD36" s="46"/>
      <c r="AE36" s="49"/>
      <c r="AF36" s="46"/>
      <c r="AG36" s="46"/>
      <c r="AH36" s="46"/>
      <c r="AI36" s="51"/>
      <c r="AJ36" s="52"/>
      <c r="AK36" s="52"/>
      <c r="AL36" s="52"/>
      <c r="AM36" s="52"/>
      <c r="AN36" s="52"/>
      <c r="AO36" s="52"/>
      <c r="AP36" s="53">
        <f t="shared" si="1"/>
        <v>0</v>
      </c>
      <c r="AQ36" s="54"/>
      <c r="AR36" s="54"/>
      <c r="AS36" s="55"/>
    </row>
    <row r="37" spans="1:45" s="11" customFormat="1" ht="14.25">
      <c r="A37" s="40"/>
      <c r="B37" s="41" t="str">
        <f t="shared" si="0"/>
        <v/>
      </c>
      <c r="C37" s="230" t="s">
        <v>439</v>
      </c>
      <c r="D37" s="247"/>
      <c r="E37" s="44"/>
      <c r="F37" s="45"/>
      <c r="G37" s="45"/>
      <c r="H37" s="230"/>
      <c r="I37" s="248"/>
      <c r="J37" s="230"/>
      <c r="K37" s="243"/>
      <c r="L37" s="230"/>
      <c r="M37" s="48"/>
      <c r="N37" s="44"/>
      <c r="O37" s="45"/>
      <c r="P37" s="45"/>
      <c r="Q37" s="45"/>
      <c r="R37" s="45"/>
      <c r="S37" s="42"/>
      <c r="T37" s="247"/>
      <c r="U37" s="44"/>
      <c r="V37" s="44"/>
      <c r="W37" s="49"/>
      <c r="X37" s="45"/>
      <c r="Y37" s="50"/>
      <c r="Z37" s="247"/>
      <c r="AA37" s="50"/>
      <c r="AB37" s="243"/>
      <c r="AC37" s="46"/>
      <c r="AD37" s="46"/>
      <c r="AE37" s="49"/>
      <c r="AF37" s="46"/>
      <c r="AG37" s="46"/>
      <c r="AH37" s="46"/>
      <c r="AI37" s="51"/>
      <c r="AJ37" s="52"/>
      <c r="AK37" s="52"/>
      <c r="AL37" s="52"/>
      <c r="AM37" s="52"/>
      <c r="AN37" s="52"/>
      <c r="AO37" s="52"/>
      <c r="AP37" s="53">
        <f t="shared" si="1"/>
        <v>0</v>
      </c>
      <c r="AQ37" s="54"/>
      <c r="AR37" s="54"/>
      <c r="AS37" s="55"/>
    </row>
    <row r="38" spans="1:45" s="11" customFormat="1" ht="14.25">
      <c r="A38" s="40"/>
      <c r="B38" s="41" t="str">
        <f t="shared" si="0"/>
        <v/>
      </c>
      <c r="C38" s="230" t="s">
        <v>440</v>
      </c>
      <c r="D38" s="247"/>
      <c r="E38" s="44"/>
      <c r="F38" s="45"/>
      <c r="G38" s="45"/>
      <c r="H38" s="230"/>
      <c r="I38" s="248"/>
      <c r="J38" s="230"/>
      <c r="K38" s="47"/>
      <c r="L38" s="230"/>
      <c r="M38" s="48"/>
      <c r="N38" s="44"/>
      <c r="O38" s="45"/>
      <c r="P38" s="45"/>
      <c r="Q38" s="45"/>
      <c r="R38" s="45"/>
      <c r="S38" s="42"/>
      <c r="T38" s="247"/>
      <c r="U38" s="44"/>
      <c r="V38" s="44"/>
      <c r="W38" s="49"/>
      <c r="X38" s="45"/>
      <c r="Y38" s="50"/>
      <c r="Z38" s="247"/>
      <c r="AA38" s="50"/>
      <c r="AB38" s="243"/>
      <c r="AC38" s="47"/>
      <c r="AD38" s="56"/>
      <c r="AE38" s="49"/>
      <c r="AF38" s="47"/>
      <c r="AG38" s="56"/>
      <c r="AH38" s="56"/>
      <c r="AI38" s="49"/>
      <c r="AJ38" s="50"/>
      <c r="AK38" s="50"/>
      <c r="AL38" s="50"/>
      <c r="AM38" s="50"/>
      <c r="AN38" s="50"/>
      <c r="AO38" s="50"/>
      <c r="AP38" s="57">
        <f t="shared" si="1"/>
        <v>0</v>
      </c>
      <c r="AQ38" s="58"/>
      <c r="AR38" s="58"/>
      <c r="AS38" s="59"/>
    </row>
    <row r="39" spans="1:45" s="11" customFormat="1" ht="14.25">
      <c r="A39" s="40"/>
      <c r="B39" s="41" t="str">
        <f t="shared" si="0"/>
        <v/>
      </c>
      <c r="C39" s="230" t="s">
        <v>441</v>
      </c>
      <c r="D39" s="247"/>
      <c r="E39" s="44"/>
      <c r="F39" s="45"/>
      <c r="G39" s="45"/>
      <c r="H39" s="230"/>
      <c r="I39" s="248"/>
      <c r="J39" s="230"/>
      <c r="K39" s="243"/>
      <c r="L39" s="244"/>
      <c r="M39" s="48"/>
      <c r="N39" s="44"/>
      <c r="O39" s="45"/>
      <c r="P39" s="45"/>
      <c r="Q39" s="45"/>
      <c r="R39" s="45"/>
      <c r="S39" s="42"/>
      <c r="T39" s="245"/>
      <c r="U39" s="44"/>
      <c r="V39" s="44"/>
      <c r="W39" s="49"/>
      <c r="X39" s="45"/>
      <c r="Y39" s="50"/>
      <c r="Z39" s="247"/>
      <c r="AA39" s="50"/>
      <c r="AB39" s="243"/>
      <c r="AC39" s="47"/>
      <c r="AD39" s="56"/>
      <c r="AE39" s="49"/>
      <c r="AF39" s="47"/>
      <c r="AG39" s="56"/>
      <c r="AH39" s="56"/>
      <c r="AI39" s="49"/>
      <c r="AJ39" s="50"/>
      <c r="AK39" s="50"/>
      <c r="AL39" s="50"/>
      <c r="AM39" s="50"/>
      <c r="AN39" s="50"/>
      <c r="AO39" s="50"/>
      <c r="AP39" s="57">
        <f t="shared" si="1"/>
        <v>0</v>
      </c>
      <c r="AQ39" s="58"/>
      <c r="AR39" s="58"/>
      <c r="AS39" s="59"/>
    </row>
    <row r="40" spans="1:45" s="11" customFormat="1" ht="14.25">
      <c r="A40" s="40"/>
      <c r="B40" s="41" t="str">
        <f t="shared" si="0"/>
        <v/>
      </c>
      <c r="C40" s="230" t="s">
        <v>442</v>
      </c>
      <c r="D40" s="247"/>
      <c r="E40" s="44"/>
      <c r="F40" s="45"/>
      <c r="G40" s="45"/>
      <c r="H40" s="230"/>
      <c r="I40" s="248"/>
      <c r="J40" s="230"/>
      <c r="K40" s="243"/>
      <c r="L40" s="244"/>
      <c r="M40" s="48"/>
      <c r="N40" s="44"/>
      <c r="O40" s="45"/>
      <c r="P40" s="45"/>
      <c r="Q40" s="45"/>
      <c r="R40" s="45"/>
      <c r="S40" s="42"/>
      <c r="T40" s="245"/>
      <c r="U40" s="44"/>
      <c r="V40" s="44"/>
      <c r="W40" s="49"/>
      <c r="X40" s="45"/>
      <c r="Y40" s="50"/>
      <c r="Z40" s="247"/>
      <c r="AA40" s="50"/>
      <c r="AB40" s="243"/>
      <c r="AC40" s="47"/>
      <c r="AD40" s="56"/>
      <c r="AE40" s="49"/>
      <c r="AF40" s="47"/>
      <c r="AG40" s="56"/>
      <c r="AH40" s="56"/>
      <c r="AI40" s="49"/>
      <c r="AJ40" s="50"/>
      <c r="AK40" s="50"/>
      <c r="AL40" s="50"/>
      <c r="AM40" s="50"/>
      <c r="AN40" s="50"/>
      <c r="AO40" s="50"/>
      <c r="AP40" s="57">
        <f t="shared" si="1"/>
        <v>0</v>
      </c>
      <c r="AQ40" s="58"/>
      <c r="AR40" s="58"/>
      <c r="AS40" s="59"/>
    </row>
    <row r="41" spans="1:45" s="11" customFormat="1" ht="14.25">
      <c r="A41" s="40"/>
      <c r="B41" s="41" t="str">
        <f t="shared" si="0"/>
        <v/>
      </c>
      <c r="C41" s="230"/>
      <c r="D41" s="43"/>
      <c r="E41" s="44"/>
      <c r="F41" s="45"/>
      <c r="G41" s="45"/>
      <c r="H41" s="42"/>
      <c r="I41" s="46"/>
      <c r="J41" s="42"/>
      <c r="K41" s="47"/>
      <c r="L41" s="42"/>
      <c r="M41" s="48"/>
      <c r="N41" s="44"/>
      <c r="O41" s="45"/>
      <c r="P41" s="45"/>
      <c r="Q41" s="45"/>
      <c r="R41" s="45"/>
      <c r="S41" s="42"/>
      <c r="T41" s="43"/>
      <c r="U41" s="44"/>
      <c r="V41" s="44"/>
      <c r="W41" s="49"/>
      <c r="X41" s="45"/>
      <c r="Y41" s="50"/>
      <c r="Z41" s="43"/>
      <c r="AA41" s="50"/>
      <c r="AB41" s="241"/>
      <c r="AC41" s="47"/>
      <c r="AD41" s="56"/>
      <c r="AE41" s="49"/>
      <c r="AF41" s="47"/>
      <c r="AG41" s="56"/>
      <c r="AH41" s="56"/>
      <c r="AI41" s="49"/>
      <c r="AJ41" s="50"/>
      <c r="AK41" s="50"/>
      <c r="AL41" s="50"/>
      <c r="AM41" s="50"/>
      <c r="AN41" s="50"/>
      <c r="AO41" s="50"/>
      <c r="AP41" s="57">
        <f t="shared" si="1"/>
        <v>0</v>
      </c>
      <c r="AQ41" s="58"/>
      <c r="AR41" s="58"/>
      <c r="AS41" s="59"/>
    </row>
    <row r="42" spans="1:45" s="11" customFormat="1" ht="14.25">
      <c r="A42" s="40"/>
      <c r="B42" s="41" t="str">
        <f t="shared" si="0"/>
        <v/>
      </c>
      <c r="C42" s="230"/>
      <c r="D42" s="43"/>
      <c r="E42" s="44"/>
      <c r="F42" s="45"/>
      <c r="G42" s="45"/>
      <c r="H42" s="42"/>
      <c r="I42" s="46"/>
      <c r="J42" s="42"/>
      <c r="K42" s="47"/>
      <c r="L42" s="42"/>
      <c r="M42" s="48"/>
      <c r="N42" s="44"/>
      <c r="O42" s="45"/>
      <c r="P42" s="45"/>
      <c r="Q42" s="45"/>
      <c r="R42" s="45"/>
      <c r="S42" s="42"/>
      <c r="T42" s="43"/>
      <c r="U42" s="44"/>
      <c r="V42" s="44"/>
      <c r="W42" s="49"/>
      <c r="X42" s="45"/>
      <c r="Y42" s="50"/>
      <c r="Z42" s="43"/>
      <c r="AA42" s="50"/>
      <c r="AB42" s="241"/>
      <c r="AC42" s="47"/>
      <c r="AD42" s="56"/>
      <c r="AE42" s="49"/>
      <c r="AF42" s="47"/>
      <c r="AG42" s="56"/>
      <c r="AH42" s="56"/>
      <c r="AI42" s="49"/>
      <c r="AJ42" s="50"/>
      <c r="AK42" s="50"/>
      <c r="AL42" s="50"/>
      <c r="AM42" s="50"/>
      <c r="AN42" s="50"/>
      <c r="AO42" s="50"/>
      <c r="AP42" s="57">
        <f t="shared" si="1"/>
        <v>0</v>
      </c>
      <c r="AQ42" s="58"/>
      <c r="AR42" s="58"/>
      <c r="AS42" s="59"/>
    </row>
    <row r="43" spans="1:45" s="11" customFormat="1" ht="14.25">
      <c r="A43" s="40"/>
      <c r="B43" s="41" t="str">
        <f t="shared" si="0"/>
        <v/>
      </c>
      <c r="C43" s="230"/>
      <c r="D43" s="43"/>
      <c r="E43" s="44"/>
      <c r="F43" s="45"/>
      <c r="G43" s="45"/>
      <c r="H43" s="42"/>
      <c r="I43" s="46"/>
      <c r="J43" s="42"/>
      <c r="K43" s="47"/>
      <c r="L43" s="42"/>
      <c r="M43" s="48"/>
      <c r="N43" s="44"/>
      <c r="O43" s="45"/>
      <c r="P43" s="45"/>
      <c r="Q43" s="45"/>
      <c r="R43" s="45"/>
      <c r="S43" s="42"/>
      <c r="T43" s="43"/>
      <c r="U43" s="44"/>
      <c r="V43" s="44"/>
      <c r="W43" s="49"/>
      <c r="X43" s="45"/>
      <c r="Y43" s="50"/>
      <c r="Z43" s="43"/>
      <c r="AA43" s="50"/>
      <c r="AB43" s="56"/>
      <c r="AC43" s="47"/>
      <c r="AD43" s="56"/>
      <c r="AE43" s="49"/>
      <c r="AF43" s="47"/>
      <c r="AG43" s="56"/>
      <c r="AH43" s="56"/>
      <c r="AI43" s="49"/>
      <c r="AJ43" s="50"/>
      <c r="AK43" s="50"/>
      <c r="AL43" s="50"/>
      <c r="AM43" s="50"/>
      <c r="AN43" s="50"/>
      <c r="AO43" s="50"/>
      <c r="AP43" s="57">
        <f t="shared" si="1"/>
        <v>0</v>
      </c>
      <c r="AQ43" s="58"/>
      <c r="AR43" s="58"/>
      <c r="AS43" s="59"/>
    </row>
    <row r="44" spans="1:45" s="11" customFormat="1" ht="14.25">
      <c r="A44" s="40"/>
      <c r="B44" s="41" t="str">
        <f t="shared" si="0"/>
        <v/>
      </c>
      <c r="C44" s="230"/>
      <c r="D44" s="43"/>
      <c r="E44" s="44"/>
      <c r="F44" s="45"/>
      <c r="G44" s="45"/>
      <c r="H44" s="42"/>
      <c r="I44" s="46"/>
      <c r="J44" s="42"/>
      <c r="K44" s="47"/>
      <c r="L44" s="42"/>
      <c r="M44" s="48"/>
      <c r="N44" s="44"/>
      <c r="O44" s="45"/>
      <c r="P44" s="45"/>
      <c r="Q44" s="45"/>
      <c r="R44" s="45"/>
      <c r="S44" s="42"/>
      <c r="T44" s="43"/>
      <c r="U44" s="44"/>
      <c r="V44" s="44"/>
      <c r="W44" s="49"/>
      <c r="X44" s="45"/>
      <c r="Y44" s="50"/>
      <c r="Z44" s="43"/>
      <c r="AA44" s="50"/>
      <c r="AB44" s="56"/>
      <c r="AC44" s="47"/>
      <c r="AD44" s="56"/>
      <c r="AE44" s="49"/>
      <c r="AF44" s="47"/>
      <c r="AG44" s="56"/>
      <c r="AH44" s="56"/>
      <c r="AI44" s="49"/>
      <c r="AJ44" s="50"/>
      <c r="AK44" s="50"/>
      <c r="AL44" s="50"/>
      <c r="AM44" s="50"/>
      <c r="AN44" s="50"/>
      <c r="AO44" s="50"/>
      <c r="AP44" s="57">
        <f t="shared" si="1"/>
        <v>0</v>
      </c>
      <c r="AQ44" s="58"/>
      <c r="AR44" s="58"/>
      <c r="AS44" s="59"/>
    </row>
    <row r="45" spans="1:45" s="11" customFormat="1" ht="14.25">
      <c r="A45" s="40"/>
      <c r="B45" s="41" t="str">
        <f t="shared" si="0"/>
        <v/>
      </c>
      <c r="C45" s="230"/>
      <c r="D45" s="43"/>
      <c r="E45" s="44"/>
      <c r="F45" s="45"/>
      <c r="G45" s="45"/>
      <c r="H45" s="42"/>
      <c r="I45" s="46"/>
      <c r="J45" s="42"/>
      <c r="K45" s="47"/>
      <c r="L45" s="42"/>
      <c r="M45" s="48"/>
      <c r="N45" s="44"/>
      <c r="O45" s="45"/>
      <c r="P45" s="45"/>
      <c r="Q45" s="45"/>
      <c r="R45" s="45"/>
      <c r="S45" s="42"/>
      <c r="T45" s="43"/>
      <c r="U45" s="44"/>
      <c r="V45" s="44"/>
      <c r="W45" s="49"/>
      <c r="X45" s="45"/>
      <c r="Y45" s="50"/>
      <c r="Z45" s="43"/>
      <c r="AA45" s="50"/>
      <c r="AB45" s="56"/>
      <c r="AC45" s="47"/>
      <c r="AD45" s="56"/>
      <c r="AE45" s="49"/>
      <c r="AF45" s="47"/>
      <c r="AG45" s="56"/>
      <c r="AH45" s="56"/>
      <c r="AI45" s="49"/>
      <c r="AJ45" s="50"/>
      <c r="AK45" s="50"/>
      <c r="AL45" s="50"/>
      <c r="AM45" s="50"/>
      <c r="AN45" s="50"/>
      <c r="AO45" s="50"/>
      <c r="AP45" s="57">
        <f t="shared" si="1"/>
        <v>0</v>
      </c>
      <c r="AQ45" s="58"/>
      <c r="AR45" s="58"/>
      <c r="AS45" s="59"/>
    </row>
    <row r="46" spans="1:45" s="11" customFormat="1" ht="14.25">
      <c r="A46" s="40"/>
      <c r="B46" s="41" t="str">
        <f t="shared" si="0"/>
        <v/>
      </c>
      <c r="C46" s="230"/>
      <c r="D46" s="43"/>
      <c r="E46" s="44"/>
      <c r="F46" s="45"/>
      <c r="G46" s="45"/>
      <c r="H46" s="42"/>
      <c r="I46" s="46"/>
      <c r="J46" s="42"/>
      <c r="K46" s="47"/>
      <c r="L46" s="42"/>
      <c r="M46" s="48"/>
      <c r="N46" s="44"/>
      <c r="O46" s="45"/>
      <c r="P46" s="45"/>
      <c r="Q46" s="45"/>
      <c r="R46" s="45"/>
      <c r="S46" s="42"/>
      <c r="T46" s="43"/>
      <c r="U46" s="44"/>
      <c r="V46" s="44"/>
      <c r="W46" s="49"/>
      <c r="X46" s="45"/>
      <c r="Y46" s="50"/>
      <c r="Z46" s="43"/>
      <c r="AA46" s="50"/>
      <c r="AB46" s="56"/>
      <c r="AC46" s="47"/>
      <c r="AD46" s="56"/>
      <c r="AE46" s="49"/>
      <c r="AF46" s="47"/>
      <c r="AG46" s="56"/>
      <c r="AH46" s="56"/>
      <c r="AI46" s="49"/>
      <c r="AJ46" s="50"/>
      <c r="AK46" s="50"/>
      <c r="AL46" s="50"/>
      <c r="AM46" s="50"/>
      <c r="AN46" s="50"/>
      <c r="AO46" s="50"/>
      <c r="AP46" s="57">
        <f t="shared" si="1"/>
        <v>0</v>
      </c>
      <c r="AQ46" s="58"/>
      <c r="AR46" s="58"/>
      <c r="AS46" s="59"/>
    </row>
  </sheetData>
  <sheetProtection sheet="1" objects="1" scenarios="1" autoFilter="0"/>
  <phoneticPr fontId="23"/>
  <conditionalFormatting sqref="F10:F17 F19:F22">
    <cfRule type="expression" dxfId="424" priority="684">
      <formula>$B10="完了"</formula>
    </cfRule>
  </conditionalFormatting>
  <conditionalFormatting sqref="F26:F32">
    <cfRule type="expression" dxfId="423" priority="683">
      <formula>$B26="完了"</formula>
    </cfRule>
  </conditionalFormatting>
  <conditionalFormatting sqref="H11:H12 H15:H17 H19:H21">
    <cfRule type="expression" dxfId="422" priority="682">
      <formula>$B11="完了"</formula>
    </cfRule>
  </conditionalFormatting>
  <conditionalFormatting sqref="H22">
    <cfRule type="expression" dxfId="421" priority="659">
      <formula>$B22="完了"</formula>
    </cfRule>
  </conditionalFormatting>
  <conditionalFormatting sqref="H26">
    <cfRule type="expression" dxfId="420" priority="656">
      <formula>$B26="完了"</formula>
    </cfRule>
  </conditionalFormatting>
  <conditionalFormatting sqref="H30">
    <cfRule type="expression" dxfId="419" priority="653">
      <formula>$B30="完了"</formula>
    </cfRule>
  </conditionalFormatting>
  <conditionalFormatting sqref="H31">
    <cfRule type="expression" dxfId="418" priority="652">
      <formula>$B31="完了"</formula>
    </cfRule>
  </conditionalFormatting>
  <conditionalFormatting sqref="I11:I12 I15:I17 I19:I21">
    <cfRule type="expression" dxfId="417" priority="650">
      <formula>$B11="完了"</formula>
    </cfRule>
  </conditionalFormatting>
  <conditionalFormatting sqref="I21">
    <cfRule type="expression" dxfId="416" priority="632">
      <formula>$B21="完了"</formula>
    </cfRule>
  </conditionalFormatting>
  <conditionalFormatting sqref="I21">
    <cfRule type="expression" dxfId="415" priority="631">
      <formula>$B21="完了"</formula>
    </cfRule>
  </conditionalFormatting>
  <conditionalFormatting sqref="I26">
    <cfRule type="expression" dxfId="414" priority="623">
      <formula>$B26="完了"</formula>
    </cfRule>
  </conditionalFormatting>
  <conditionalFormatting sqref="I31">
    <cfRule type="expression" dxfId="413" priority="618">
      <formula>$B31="完了"</formula>
    </cfRule>
  </conditionalFormatting>
  <conditionalFormatting sqref="I32">
    <cfRule type="expression" dxfId="412" priority="617">
      <formula>$B32="完了"</formula>
    </cfRule>
  </conditionalFormatting>
  <conditionalFormatting sqref="J10:J12 J19:J21">
    <cfRule type="expression" dxfId="411" priority="616">
      <formula>$B10="完了"</formula>
    </cfRule>
  </conditionalFormatting>
  <conditionalFormatting sqref="J26">
    <cfRule type="expression" dxfId="410" priority="589">
      <formula>$B26="完了"</formula>
    </cfRule>
  </conditionalFormatting>
  <conditionalFormatting sqref="J27">
    <cfRule type="expression" dxfId="409" priority="588">
      <formula>$B27="完了"</formula>
    </cfRule>
  </conditionalFormatting>
  <conditionalFormatting sqref="J29">
    <cfRule type="expression" dxfId="408" priority="586">
      <formula>$B29="完了"</formula>
    </cfRule>
  </conditionalFormatting>
  <conditionalFormatting sqref="J31">
    <cfRule type="expression" dxfId="407" priority="584">
      <formula>$B31="完了"</formula>
    </cfRule>
  </conditionalFormatting>
  <conditionalFormatting sqref="J32">
    <cfRule type="expression" dxfId="406" priority="583">
      <formula>$B32="完了"</formula>
    </cfRule>
  </conditionalFormatting>
  <conditionalFormatting sqref="L26 L11:L12 L19:L21">
    <cfRule type="expression" dxfId="405" priority="548">
      <formula>$B11="完了"</formula>
    </cfRule>
  </conditionalFormatting>
  <conditionalFormatting sqref="L24">
    <cfRule type="expression" dxfId="404" priority="521">
      <formula>$B24="完了"</formula>
    </cfRule>
  </conditionalFormatting>
  <conditionalFormatting sqref="L27">
    <cfRule type="expression" dxfId="403" priority="520">
      <formula>$B27="完了"</formula>
    </cfRule>
  </conditionalFormatting>
  <conditionalFormatting sqref="L29">
    <cfRule type="expression" dxfId="402" priority="518">
      <formula>$B29="完了"</formula>
    </cfRule>
  </conditionalFormatting>
  <conditionalFormatting sqref="L31">
    <cfRule type="expression" dxfId="401" priority="517">
      <formula>$B31="完了"</formula>
    </cfRule>
  </conditionalFormatting>
  <conditionalFormatting sqref="L32">
    <cfRule type="expression" dxfId="400" priority="516">
      <formula>$B32="完了"</formula>
    </cfRule>
  </conditionalFormatting>
  <conditionalFormatting sqref="T12 T18 T21 T25:T27 T29:T31">
    <cfRule type="expression" dxfId="399" priority="514">
      <formula>$B12="完了"</formula>
    </cfRule>
  </conditionalFormatting>
  <conditionalFormatting sqref="T11">
    <cfRule type="expression" dxfId="398" priority="511">
      <formula>$B11="完了"</formula>
    </cfRule>
  </conditionalFormatting>
  <conditionalFormatting sqref="T13">
    <cfRule type="expression" dxfId="397" priority="510">
      <formula>$B13="完了"</formula>
    </cfRule>
  </conditionalFormatting>
  <conditionalFormatting sqref="T14">
    <cfRule type="expression" dxfId="396" priority="509">
      <formula>$B14="完了"</formula>
    </cfRule>
  </conditionalFormatting>
  <conditionalFormatting sqref="T15">
    <cfRule type="expression" dxfId="395" priority="508">
      <formula>$B15="完了"</formula>
    </cfRule>
  </conditionalFormatting>
  <conditionalFormatting sqref="T18">
    <cfRule type="expression" dxfId="392" priority="505">
      <formula>$B18="完了"</formula>
    </cfRule>
  </conditionalFormatting>
  <conditionalFormatting sqref="T19">
    <cfRule type="expression" dxfId="391" priority="504">
      <formula>$B19="完了"</formula>
    </cfRule>
  </conditionalFormatting>
  <conditionalFormatting sqref="T19">
    <cfRule type="expression" dxfId="390" priority="503">
      <formula>$B19="完了"</formula>
    </cfRule>
  </conditionalFormatting>
  <conditionalFormatting sqref="T20">
    <cfRule type="expression" dxfId="389" priority="502">
      <formula>$B20="完了"</formula>
    </cfRule>
  </conditionalFormatting>
  <conditionalFormatting sqref="T20">
    <cfRule type="expression" dxfId="388" priority="501">
      <formula>$B20="完了"</formula>
    </cfRule>
  </conditionalFormatting>
  <conditionalFormatting sqref="T19">
    <cfRule type="expression" dxfId="387" priority="500">
      <formula>$B19="完了"</formula>
    </cfRule>
  </conditionalFormatting>
  <conditionalFormatting sqref="T18">
    <cfRule type="expression" dxfId="385" priority="498">
      <formula>$B18="完了"</formula>
    </cfRule>
  </conditionalFormatting>
  <conditionalFormatting sqref="T18">
    <cfRule type="expression" dxfId="384" priority="497">
      <formula>$B18="完了"</formula>
    </cfRule>
  </conditionalFormatting>
  <conditionalFormatting sqref="T19">
    <cfRule type="expression" dxfId="383" priority="496">
      <formula>$B19="完了"</formula>
    </cfRule>
  </conditionalFormatting>
  <conditionalFormatting sqref="T20">
    <cfRule type="expression" dxfId="382" priority="495">
      <formula>$B20="完了"</formula>
    </cfRule>
  </conditionalFormatting>
  <conditionalFormatting sqref="T20">
    <cfRule type="expression" dxfId="381" priority="494">
      <formula>$B20="完了"</formula>
    </cfRule>
  </conditionalFormatting>
  <conditionalFormatting sqref="T21">
    <cfRule type="expression" dxfId="380" priority="493">
      <formula>$B21="完了"</formula>
    </cfRule>
  </conditionalFormatting>
  <conditionalFormatting sqref="T21">
    <cfRule type="expression" dxfId="379" priority="492">
      <formula>$B21="完了"</formula>
    </cfRule>
  </conditionalFormatting>
  <conditionalFormatting sqref="T16">
    <cfRule type="expression" dxfId="378" priority="491">
      <formula>$B16="完了"</formula>
    </cfRule>
  </conditionalFormatting>
  <conditionalFormatting sqref="T22">
    <cfRule type="expression" dxfId="377" priority="490">
      <formula>$B22="完了"</formula>
    </cfRule>
  </conditionalFormatting>
  <conditionalFormatting sqref="T23">
    <cfRule type="expression" dxfId="376" priority="489">
      <formula>$B23="完了"</formula>
    </cfRule>
  </conditionalFormatting>
  <conditionalFormatting sqref="T24">
    <cfRule type="expression" dxfId="375" priority="488">
      <formula>$B24="完了"</formula>
    </cfRule>
  </conditionalFormatting>
  <conditionalFormatting sqref="T27">
    <cfRule type="expression" dxfId="374" priority="487">
      <formula>$B27="完了"</formula>
    </cfRule>
  </conditionalFormatting>
  <conditionalFormatting sqref="T28">
    <cfRule type="expression" dxfId="373" priority="486">
      <formula>$B28="完了"</formula>
    </cfRule>
  </conditionalFormatting>
  <conditionalFormatting sqref="T31">
    <cfRule type="expression" dxfId="372" priority="485">
      <formula>$B31="完了"</formula>
    </cfRule>
  </conditionalFormatting>
  <conditionalFormatting sqref="T32">
    <cfRule type="expression" dxfId="371" priority="484">
      <formula>$B32="完了"</formula>
    </cfRule>
  </conditionalFormatting>
  <conditionalFormatting sqref="V25 V10:V23">
    <cfRule type="expression" dxfId="370" priority="483">
      <formula>$B10="完了"</formula>
    </cfRule>
  </conditionalFormatting>
  <conditionalFormatting sqref="V28">
    <cfRule type="expression" dxfId="369" priority="451">
      <formula>$B28="完了"</formula>
    </cfRule>
  </conditionalFormatting>
  <conditionalFormatting sqref="V31">
    <cfRule type="expression" dxfId="368" priority="448">
      <formula>$B31="完了"</formula>
    </cfRule>
  </conditionalFormatting>
  <conditionalFormatting sqref="V32">
    <cfRule type="expression" dxfId="367" priority="447">
      <formula>$B32="完了"</formula>
    </cfRule>
  </conditionalFormatting>
  <conditionalFormatting sqref="V24">
    <cfRule type="expression" dxfId="366" priority="442">
      <formula>$B24="完了"</formula>
    </cfRule>
  </conditionalFormatting>
  <conditionalFormatting sqref="V24">
    <cfRule type="expression" dxfId="365" priority="441">
      <formula>$B24="完了"</formula>
    </cfRule>
  </conditionalFormatting>
  <conditionalFormatting sqref="V24">
    <cfRule type="expression" dxfId="364" priority="440">
      <formula>$B24="完了"</formula>
    </cfRule>
  </conditionalFormatting>
  <conditionalFormatting sqref="V24">
    <cfRule type="expression" dxfId="363" priority="439">
      <formula>$B24="完了"</formula>
    </cfRule>
  </conditionalFormatting>
  <conditionalFormatting sqref="V25">
    <cfRule type="expression" dxfId="362" priority="438">
      <formula>$B25="完了"</formula>
    </cfRule>
  </conditionalFormatting>
  <conditionalFormatting sqref="V25">
    <cfRule type="expression" dxfId="361" priority="437">
      <formula>$B25="完了"</formula>
    </cfRule>
  </conditionalFormatting>
  <conditionalFormatting sqref="V25">
    <cfRule type="expression" dxfId="360" priority="436">
      <formula>$B25="完了"</formula>
    </cfRule>
  </conditionalFormatting>
  <conditionalFormatting sqref="V26">
    <cfRule type="expression" dxfId="359" priority="435">
      <formula>$B26="完了"</formula>
    </cfRule>
  </conditionalFormatting>
  <conditionalFormatting sqref="V26">
    <cfRule type="expression" dxfId="358" priority="434">
      <formula>$B26="完了"</formula>
    </cfRule>
  </conditionalFormatting>
  <conditionalFormatting sqref="V26">
    <cfRule type="expression" dxfId="357" priority="433">
      <formula>$B26="完了"</formula>
    </cfRule>
  </conditionalFormatting>
  <conditionalFormatting sqref="V26">
    <cfRule type="expression" dxfId="356" priority="432">
      <formula>$B26="完了"</formula>
    </cfRule>
  </conditionalFormatting>
  <conditionalFormatting sqref="V27">
    <cfRule type="expression" dxfId="355" priority="431">
      <formula>$B27="完了"</formula>
    </cfRule>
  </conditionalFormatting>
  <conditionalFormatting sqref="V27">
    <cfRule type="expression" dxfId="354" priority="430">
      <formula>$B27="完了"</formula>
    </cfRule>
  </conditionalFormatting>
  <conditionalFormatting sqref="V27">
    <cfRule type="expression" dxfId="353" priority="429">
      <formula>$B27="完了"</formula>
    </cfRule>
  </conditionalFormatting>
  <conditionalFormatting sqref="V27">
    <cfRule type="expression" dxfId="352" priority="428">
      <formula>$B27="完了"</formula>
    </cfRule>
  </conditionalFormatting>
  <conditionalFormatting sqref="V29">
    <cfRule type="expression" dxfId="351" priority="427">
      <formula>$B29="完了"</formula>
    </cfRule>
  </conditionalFormatting>
  <conditionalFormatting sqref="V29">
    <cfRule type="expression" dxfId="350" priority="426">
      <formula>$B29="完了"</formula>
    </cfRule>
  </conditionalFormatting>
  <conditionalFormatting sqref="V29">
    <cfRule type="expression" dxfId="349" priority="425">
      <formula>$B29="完了"</formula>
    </cfRule>
  </conditionalFormatting>
  <conditionalFormatting sqref="V29">
    <cfRule type="expression" dxfId="348" priority="424">
      <formula>$B29="完了"</formula>
    </cfRule>
  </conditionalFormatting>
  <conditionalFormatting sqref="V30">
    <cfRule type="expression" dxfId="347" priority="423">
      <formula>$B30="完了"</formula>
    </cfRule>
  </conditionalFormatting>
  <conditionalFormatting sqref="V30">
    <cfRule type="expression" dxfId="346" priority="422">
      <formula>$B30="完了"</formula>
    </cfRule>
  </conditionalFormatting>
  <conditionalFormatting sqref="V30">
    <cfRule type="expression" dxfId="345" priority="421">
      <formula>$B30="完了"</formula>
    </cfRule>
  </conditionalFormatting>
  <conditionalFormatting sqref="V30">
    <cfRule type="expression" dxfId="344" priority="420">
      <formula>$B30="完了"</formula>
    </cfRule>
  </conditionalFormatting>
  <conditionalFormatting sqref="Z11:Z12 Z18 Z21 Z25:Z27 Z29:Z31">
    <cfRule type="expression" dxfId="343" priority="419">
      <formula>$B11="完了"</formula>
    </cfRule>
  </conditionalFormatting>
  <conditionalFormatting sqref="Z10">
    <cfRule type="expression" dxfId="342" priority="417">
      <formula>$B10="完了"</formula>
    </cfRule>
  </conditionalFormatting>
  <conditionalFormatting sqref="Z13">
    <cfRule type="expression" dxfId="341" priority="416">
      <formula>$B13="完了"</formula>
    </cfRule>
  </conditionalFormatting>
  <conditionalFormatting sqref="Z14">
    <cfRule type="expression" dxfId="340" priority="415">
      <formula>$B14="完了"</formula>
    </cfRule>
  </conditionalFormatting>
  <conditionalFormatting sqref="Z15">
    <cfRule type="expression" dxfId="339" priority="414">
      <formula>$B15="完了"</formula>
    </cfRule>
  </conditionalFormatting>
  <conditionalFormatting sqref="Z17">
    <cfRule type="expression" dxfId="338" priority="413">
      <formula>$B17="完了"</formula>
    </cfRule>
  </conditionalFormatting>
  <conditionalFormatting sqref="Z17">
    <cfRule type="expression" dxfId="337" priority="412">
      <formula>$B17="完了"</formula>
    </cfRule>
  </conditionalFormatting>
  <conditionalFormatting sqref="Z18">
    <cfRule type="expression" dxfId="336" priority="411">
      <formula>$B18="完了"</formula>
    </cfRule>
  </conditionalFormatting>
  <conditionalFormatting sqref="Z16">
    <cfRule type="expression" dxfId="335" priority="410">
      <formula>$B16="完了"</formula>
    </cfRule>
  </conditionalFormatting>
  <conditionalFormatting sqref="Z16">
    <cfRule type="expression" dxfId="334" priority="409">
      <formula>$B16="完了"</formula>
    </cfRule>
  </conditionalFormatting>
  <conditionalFormatting sqref="Z19">
    <cfRule type="expression" dxfId="333" priority="408">
      <formula>$B19="完了"</formula>
    </cfRule>
  </conditionalFormatting>
  <conditionalFormatting sqref="Z19">
    <cfRule type="expression" dxfId="332" priority="407">
      <formula>$B19="完了"</formula>
    </cfRule>
  </conditionalFormatting>
  <conditionalFormatting sqref="Z20">
    <cfRule type="expression" dxfId="331" priority="406">
      <formula>$B20="完了"</formula>
    </cfRule>
  </conditionalFormatting>
  <conditionalFormatting sqref="Z20">
    <cfRule type="expression" dxfId="330" priority="405">
      <formula>$B20="完了"</formula>
    </cfRule>
  </conditionalFormatting>
  <conditionalFormatting sqref="Z19">
    <cfRule type="expression" dxfId="329" priority="404">
      <formula>$B19="完了"</formula>
    </cfRule>
  </conditionalFormatting>
  <conditionalFormatting sqref="Z18">
    <cfRule type="expression" dxfId="328" priority="403">
      <formula>$B18="完了"</formula>
    </cfRule>
  </conditionalFormatting>
  <conditionalFormatting sqref="Z18">
    <cfRule type="expression" dxfId="327" priority="402">
      <formula>$B18="完了"</formula>
    </cfRule>
  </conditionalFormatting>
  <conditionalFormatting sqref="Z19">
    <cfRule type="expression" dxfId="326" priority="401">
      <formula>$B19="完了"</formula>
    </cfRule>
  </conditionalFormatting>
  <conditionalFormatting sqref="Z17">
    <cfRule type="expression" dxfId="325" priority="400">
      <formula>$B17="完了"</formula>
    </cfRule>
  </conditionalFormatting>
  <conditionalFormatting sqref="Z17">
    <cfRule type="expression" dxfId="324" priority="399">
      <formula>$B17="完了"</formula>
    </cfRule>
  </conditionalFormatting>
  <conditionalFormatting sqref="Z20">
    <cfRule type="expression" dxfId="323" priority="398">
      <formula>$B20="完了"</formula>
    </cfRule>
  </conditionalFormatting>
  <conditionalFormatting sqref="Z20">
    <cfRule type="expression" dxfId="322" priority="397">
      <formula>$B20="完了"</formula>
    </cfRule>
  </conditionalFormatting>
  <conditionalFormatting sqref="Z21">
    <cfRule type="expression" dxfId="321" priority="396">
      <formula>$B21="完了"</formula>
    </cfRule>
  </conditionalFormatting>
  <conditionalFormatting sqref="Z21">
    <cfRule type="expression" dxfId="320" priority="395">
      <formula>$B21="完了"</formula>
    </cfRule>
  </conditionalFormatting>
  <conditionalFormatting sqref="Z22">
    <cfRule type="expression" dxfId="319" priority="394">
      <formula>$B22="完了"</formula>
    </cfRule>
  </conditionalFormatting>
  <conditionalFormatting sqref="Z23">
    <cfRule type="expression" dxfId="318" priority="393">
      <formula>$B23="完了"</formula>
    </cfRule>
  </conditionalFormatting>
  <conditionalFormatting sqref="Z24">
    <cfRule type="expression" dxfId="317" priority="392">
      <formula>$B24="完了"</formula>
    </cfRule>
  </conditionalFormatting>
  <conditionalFormatting sqref="Z27">
    <cfRule type="expression" dxfId="316" priority="391">
      <formula>$B27="完了"</formula>
    </cfRule>
  </conditionalFormatting>
  <conditionalFormatting sqref="Z28">
    <cfRule type="expression" dxfId="315" priority="390">
      <formula>$B28="完了"</formula>
    </cfRule>
  </conditionalFormatting>
  <conditionalFormatting sqref="Z31">
    <cfRule type="expression" dxfId="314" priority="389">
      <formula>$B31="完了"</formula>
    </cfRule>
  </conditionalFormatting>
  <conditionalFormatting sqref="Z32">
    <cfRule type="expression" dxfId="313" priority="388">
      <formula>$B32="完了"</formula>
    </cfRule>
  </conditionalFormatting>
  <conditionalFormatting sqref="AB39:AB40">
    <cfRule type="expression" dxfId="312" priority="387">
      <formula>$B39="完了"</formula>
    </cfRule>
  </conditionalFormatting>
  <conditionalFormatting sqref="AB35:AB36">
    <cfRule type="expression" dxfId="311" priority="358">
      <formula>$B35="完了"</formula>
    </cfRule>
  </conditionalFormatting>
  <conditionalFormatting sqref="AB38">
    <cfRule type="expression" dxfId="310" priority="356">
      <formula>$B38="完了"</formula>
    </cfRule>
  </conditionalFormatting>
  <conditionalFormatting sqref="AB41">
    <cfRule type="expression" dxfId="309" priority="355">
      <formula>$B41="完了"</formula>
    </cfRule>
  </conditionalFormatting>
  <conditionalFormatting sqref="AB42">
    <cfRule type="expression" dxfId="308" priority="354">
      <formula>$B42="完了"</formula>
    </cfRule>
  </conditionalFormatting>
  <conditionalFormatting sqref="AB26 AB30">
    <cfRule type="expression" dxfId="307" priority="353">
      <formula>$B26="完了"</formula>
    </cfRule>
  </conditionalFormatting>
  <conditionalFormatting sqref="AB24">
    <cfRule type="expression" dxfId="306" priority="325">
      <formula>$B24="完了"</formula>
    </cfRule>
  </conditionalFormatting>
  <conditionalFormatting sqref="AB27">
    <cfRule type="expression" dxfId="305" priority="324">
      <formula>$B27="完了"</formula>
    </cfRule>
  </conditionalFormatting>
  <conditionalFormatting sqref="AB28">
    <cfRule type="expression" dxfId="304" priority="323">
      <formula>$B28="完了"</formula>
    </cfRule>
  </conditionalFormatting>
  <conditionalFormatting sqref="AB29">
    <cfRule type="expression" dxfId="303" priority="322">
      <formula>$B29="完了"</formula>
    </cfRule>
  </conditionalFormatting>
  <conditionalFormatting sqref="AB31">
    <cfRule type="expression" dxfId="302" priority="321">
      <formula>$B31="完了"</formula>
    </cfRule>
  </conditionalFormatting>
  <conditionalFormatting sqref="AB32">
    <cfRule type="expression" dxfId="301" priority="320">
      <formula>$B32="完了"</formula>
    </cfRule>
  </conditionalFormatting>
  <conditionalFormatting sqref="K26 K30">
    <cfRule type="expression" dxfId="300" priority="319">
      <formula>$B26="完了"</formula>
    </cfRule>
  </conditionalFormatting>
  <conditionalFormatting sqref="K27">
    <cfRule type="expression" dxfId="299" priority="292">
      <formula>$B27="完了"</formula>
    </cfRule>
  </conditionalFormatting>
  <conditionalFormatting sqref="K31">
    <cfRule type="expression" dxfId="298" priority="289">
      <formula>$B31="完了"</formula>
    </cfRule>
  </conditionalFormatting>
  <conditionalFormatting sqref="K32">
    <cfRule type="expression" dxfId="297" priority="288">
      <formula>$B32="完了"</formula>
    </cfRule>
  </conditionalFormatting>
  <conditionalFormatting sqref="J33:J34">
    <cfRule type="expression" dxfId="296" priority="287">
      <formula>$B33="完了"</formula>
    </cfRule>
  </conditionalFormatting>
  <conditionalFormatting sqref="K33:K34">
    <cfRule type="expression" dxfId="295" priority="286">
      <formula>$B33="完了"</formula>
    </cfRule>
  </conditionalFormatting>
  <conditionalFormatting sqref="L33:L34">
    <cfRule type="expression" dxfId="294" priority="285">
      <formula>$B33="完了"</formula>
    </cfRule>
  </conditionalFormatting>
  <conditionalFormatting sqref="V33:V34">
    <cfRule type="expression" dxfId="293" priority="284">
      <formula>$B33="完了"</formula>
    </cfRule>
  </conditionalFormatting>
  <conditionalFormatting sqref="V33:V34">
    <cfRule type="expression" dxfId="292" priority="283">
      <formula>$B33="完了"</formula>
    </cfRule>
  </conditionalFormatting>
  <conditionalFormatting sqref="V33:V34">
    <cfRule type="expression" dxfId="291" priority="282">
      <formula>$B33="完了"</formula>
    </cfRule>
  </conditionalFormatting>
  <conditionalFormatting sqref="V33:V34">
    <cfRule type="expression" dxfId="290" priority="281">
      <formula>$B33="完了"</formula>
    </cfRule>
  </conditionalFormatting>
  <conditionalFormatting sqref="AB33:AB34">
    <cfRule type="expression" dxfId="289" priority="280">
      <formula>$B33="完了"</formula>
    </cfRule>
  </conditionalFormatting>
  <conditionalFormatting sqref="K35:K36">
    <cfRule type="expression" dxfId="288" priority="279">
      <formula>$B35="完了"</formula>
    </cfRule>
  </conditionalFormatting>
  <conditionalFormatting sqref="L35:L36">
    <cfRule type="expression" dxfId="287" priority="278">
      <formula>$B35="完了"</formula>
    </cfRule>
  </conditionalFormatting>
  <conditionalFormatting sqref="T35:T36">
    <cfRule type="expression" dxfId="286" priority="277">
      <formula>$B35="完了"</formula>
    </cfRule>
  </conditionalFormatting>
  <conditionalFormatting sqref="T34">
    <cfRule type="expression" dxfId="285" priority="276">
      <formula>$B34="完了"</formula>
    </cfRule>
  </conditionalFormatting>
  <conditionalFormatting sqref="K37">
    <cfRule type="expression" dxfId="284" priority="275">
      <formula>$B37="完了"</formula>
    </cfRule>
  </conditionalFormatting>
  <conditionalFormatting sqref="AB37">
    <cfRule type="expression" dxfId="283" priority="274">
      <formula>$B37="完了"</formula>
    </cfRule>
  </conditionalFormatting>
  <conditionalFormatting sqref="F33">
    <cfRule type="expression" dxfId="282" priority="272">
      <formula>$B33="完了"</formula>
    </cfRule>
  </conditionalFormatting>
  <conditionalFormatting sqref="H33">
    <cfRule type="expression" dxfId="281" priority="271">
      <formula>$B33="完了"</formula>
    </cfRule>
  </conditionalFormatting>
  <conditionalFormatting sqref="I33">
    <cfRule type="expression" dxfId="280" priority="270">
      <formula>$B33="完了"</formula>
    </cfRule>
  </conditionalFormatting>
  <conditionalFormatting sqref="K39">
    <cfRule type="expression" dxfId="279" priority="269">
      <formula>$B39="完了"</formula>
    </cfRule>
  </conditionalFormatting>
  <conditionalFormatting sqref="L39">
    <cfRule type="expression" dxfId="278" priority="268">
      <formula>$B39="完了"</formula>
    </cfRule>
  </conditionalFormatting>
  <conditionalFormatting sqref="T39:T40">
    <cfRule type="expression" dxfId="277" priority="267">
      <formula>$B39="完了"</formula>
    </cfRule>
  </conditionalFormatting>
  <conditionalFormatting sqref="K40">
    <cfRule type="expression" dxfId="276" priority="266">
      <formula>$B40="完了"</formula>
    </cfRule>
  </conditionalFormatting>
  <conditionalFormatting sqref="L40">
    <cfRule type="expression" dxfId="275" priority="265">
      <formula>$B40="完了"</formula>
    </cfRule>
  </conditionalFormatting>
  <conditionalFormatting sqref="AB11 AB15:AB23">
    <cfRule type="expression" dxfId="274" priority="264">
      <formula>$B11="完了"</formula>
    </cfRule>
  </conditionalFormatting>
  <conditionalFormatting sqref="K11:K12 K19:K21">
    <cfRule type="expression" dxfId="273" priority="263">
      <formula>$B11="完了"</formula>
    </cfRule>
  </conditionalFormatting>
  <conditionalFormatting sqref="T10">
    <cfRule type="expression" dxfId="272" priority="262">
      <formula>$B10="完了"</formula>
    </cfRule>
  </conditionalFormatting>
  <conditionalFormatting sqref="I22">
    <cfRule type="expression" dxfId="271" priority="260">
      <formula>$B22="完了"</formula>
    </cfRule>
  </conditionalFormatting>
  <conditionalFormatting sqref="J22">
    <cfRule type="expression" dxfId="270" priority="259">
      <formula>$B22="完了"</formula>
    </cfRule>
  </conditionalFormatting>
  <conditionalFormatting sqref="K22:K23">
    <cfRule type="expression" dxfId="269" priority="258">
      <formula>$B22="完了"</formula>
    </cfRule>
  </conditionalFormatting>
  <conditionalFormatting sqref="L22:L23">
    <cfRule type="expression" dxfId="268" priority="257">
      <formula>$B22="完了"</formula>
    </cfRule>
  </conditionalFormatting>
  <conditionalFormatting sqref="I23">
    <cfRule type="expression" dxfId="267" priority="256">
      <formula>$B23="完了"</formula>
    </cfRule>
  </conditionalFormatting>
  <conditionalFormatting sqref="I23">
    <cfRule type="expression" dxfId="266" priority="255">
      <formula>$B23="完了"</formula>
    </cfRule>
  </conditionalFormatting>
  <conditionalFormatting sqref="I23">
    <cfRule type="expression" dxfId="265" priority="254">
      <formula>$B23="完了"</formula>
    </cfRule>
  </conditionalFormatting>
  <conditionalFormatting sqref="F23">
    <cfRule type="expression" dxfId="264" priority="253">
      <formula>$B23="完了"</formula>
    </cfRule>
  </conditionalFormatting>
  <conditionalFormatting sqref="H23">
    <cfRule type="expression" dxfId="263" priority="252">
      <formula>$B23="完了"</formula>
    </cfRule>
  </conditionalFormatting>
  <conditionalFormatting sqref="J23">
    <cfRule type="expression" dxfId="262" priority="251">
      <formula>$B23="完了"</formula>
    </cfRule>
  </conditionalFormatting>
  <conditionalFormatting sqref="F24">
    <cfRule type="expression" dxfId="261" priority="250">
      <formula>$B24="完了"</formula>
    </cfRule>
  </conditionalFormatting>
  <conditionalFormatting sqref="H24">
    <cfRule type="expression" dxfId="260" priority="249">
      <formula>$B24="完了"</formula>
    </cfRule>
  </conditionalFormatting>
  <conditionalFormatting sqref="I24">
    <cfRule type="expression" dxfId="259" priority="248">
      <formula>$B24="完了"</formula>
    </cfRule>
  </conditionalFormatting>
  <conditionalFormatting sqref="I24">
    <cfRule type="expression" dxfId="258" priority="247">
      <formula>$B24="完了"</formula>
    </cfRule>
  </conditionalFormatting>
  <conditionalFormatting sqref="I24">
    <cfRule type="expression" dxfId="257" priority="246">
      <formula>$B24="完了"</formula>
    </cfRule>
  </conditionalFormatting>
  <conditionalFormatting sqref="J24">
    <cfRule type="expression" dxfId="256" priority="245">
      <formula>$B24="完了"</formula>
    </cfRule>
  </conditionalFormatting>
  <conditionalFormatting sqref="F25">
    <cfRule type="expression" dxfId="255" priority="244">
      <formula>$B25="完了"</formula>
    </cfRule>
  </conditionalFormatting>
  <conditionalFormatting sqref="H25">
    <cfRule type="expression" dxfId="254" priority="243">
      <formula>$B25="完了"</formula>
    </cfRule>
  </conditionalFormatting>
  <conditionalFormatting sqref="I25">
    <cfRule type="expression" dxfId="253" priority="242">
      <formula>$B25="完了"</formula>
    </cfRule>
  </conditionalFormatting>
  <conditionalFormatting sqref="I25">
    <cfRule type="expression" dxfId="252" priority="241">
      <formula>$B25="完了"</formula>
    </cfRule>
  </conditionalFormatting>
  <conditionalFormatting sqref="I25">
    <cfRule type="expression" dxfId="251" priority="240">
      <formula>$B25="完了"</formula>
    </cfRule>
  </conditionalFormatting>
  <conditionalFormatting sqref="J25">
    <cfRule type="expression" dxfId="250" priority="239">
      <formula>$B25="完了"</formula>
    </cfRule>
  </conditionalFormatting>
  <conditionalFormatting sqref="K24">
    <cfRule type="expression" dxfId="249" priority="238">
      <formula>$B24="完了"</formula>
    </cfRule>
  </conditionalFormatting>
  <conditionalFormatting sqref="K24">
    <cfRule type="expression" dxfId="248" priority="237">
      <formula>$B24="完了"</formula>
    </cfRule>
  </conditionalFormatting>
  <conditionalFormatting sqref="K24">
    <cfRule type="expression" dxfId="247" priority="236">
      <formula>$B24="完了"</formula>
    </cfRule>
  </conditionalFormatting>
  <conditionalFormatting sqref="K25">
    <cfRule type="expression" dxfId="246" priority="235">
      <formula>$B25="完了"</formula>
    </cfRule>
  </conditionalFormatting>
  <conditionalFormatting sqref="K25">
    <cfRule type="expression" dxfId="245" priority="234">
      <formula>$B25="完了"</formula>
    </cfRule>
  </conditionalFormatting>
  <conditionalFormatting sqref="K25">
    <cfRule type="expression" dxfId="244" priority="233">
      <formula>$B25="完了"</formula>
    </cfRule>
  </conditionalFormatting>
  <conditionalFormatting sqref="L25">
    <cfRule type="expression" dxfId="243" priority="229">
      <formula>$B25="完了"</formula>
    </cfRule>
  </conditionalFormatting>
  <conditionalFormatting sqref="AB25">
    <cfRule type="expression" dxfId="242" priority="228">
      <formula>$B25="完了"</formula>
    </cfRule>
  </conditionalFormatting>
  <conditionalFormatting sqref="H28">
    <cfRule type="expression" dxfId="241" priority="227">
      <formula>$B28="完了"</formula>
    </cfRule>
  </conditionalFormatting>
  <conditionalFormatting sqref="I28">
    <cfRule type="expression" dxfId="240" priority="226">
      <formula>$B28="完了"</formula>
    </cfRule>
  </conditionalFormatting>
  <conditionalFormatting sqref="J28">
    <cfRule type="expression" dxfId="239" priority="225">
      <formula>$B28="完了"</formula>
    </cfRule>
  </conditionalFormatting>
  <conditionalFormatting sqref="L28">
    <cfRule type="expression" dxfId="238" priority="224">
      <formula>$B28="完了"</formula>
    </cfRule>
  </conditionalFormatting>
  <conditionalFormatting sqref="K28">
    <cfRule type="expression" dxfId="237" priority="223">
      <formula>$B28="完了"</formula>
    </cfRule>
  </conditionalFormatting>
  <conditionalFormatting sqref="F29">
    <cfRule type="expression" dxfId="236" priority="222">
      <formula>$B29="完了"</formula>
    </cfRule>
  </conditionalFormatting>
  <conditionalFormatting sqref="H29">
    <cfRule type="expression" dxfId="235" priority="221">
      <formula>$B29="完了"</formula>
    </cfRule>
  </conditionalFormatting>
  <conditionalFormatting sqref="I29">
    <cfRule type="expression" dxfId="234" priority="220">
      <formula>$B29="完了"</formula>
    </cfRule>
  </conditionalFormatting>
  <conditionalFormatting sqref="K29">
    <cfRule type="expression" dxfId="233" priority="219">
      <formula>$B29="完了"</formula>
    </cfRule>
  </conditionalFormatting>
  <conditionalFormatting sqref="J30">
    <cfRule type="expression" dxfId="232" priority="218">
      <formula>$B30="完了"</formula>
    </cfRule>
  </conditionalFormatting>
  <conditionalFormatting sqref="I30">
    <cfRule type="expression" dxfId="231" priority="217">
      <formula>$B30="完了"</formula>
    </cfRule>
  </conditionalFormatting>
  <conditionalFormatting sqref="L30">
    <cfRule type="expression" dxfId="230" priority="216">
      <formula>$B30="完了"</formula>
    </cfRule>
  </conditionalFormatting>
  <conditionalFormatting sqref="H27">
    <cfRule type="expression" dxfId="229" priority="215">
      <formula>$B27="完了"</formula>
    </cfRule>
  </conditionalFormatting>
  <conditionalFormatting sqref="I27">
    <cfRule type="expression" dxfId="228" priority="214">
      <formula>$B27="完了"</formula>
    </cfRule>
  </conditionalFormatting>
  <conditionalFormatting sqref="H27">
    <cfRule type="expression" dxfId="227" priority="213">
      <formula>$B27="完了"</formula>
    </cfRule>
  </conditionalFormatting>
  <conditionalFormatting sqref="H31">
    <cfRule type="expression" dxfId="226" priority="212">
      <formula>$B31="完了"</formula>
    </cfRule>
  </conditionalFormatting>
  <conditionalFormatting sqref="I27">
    <cfRule type="expression" dxfId="225" priority="211">
      <formula>$B27="完了"</formula>
    </cfRule>
  </conditionalFormatting>
  <conditionalFormatting sqref="J27">
    <cfRule type="expression" dxfId="224" priority="210">
      <formula>$B27="完了"</formula>
    </cfRule>
  </conditionalFormatting>
  <conditionalFormatting sqref="J28">
    <cfRule type="expression" dxfId="223" priority="209">
      <formula>$B28="完了"</formula>
    </cfRule>
  </conditionalFormatting>
  <conditionalFormatting sqref="J30">
    <cfRule type="expression" dxfId="222" priority="208">
      <formula>$B30="完了"</formula>
    </cfRule>
  </conditionalFormatting>
  <conditionalFormatting sqref="L27">
    <cfRule type="expression" dxfId="221" priority="207">
      <formula>$B27="完了"</formula>
    </cfRule>
  </conditionalFormatting>
  <conditionalFormatting sqref="L28">
    <cfRule type="expression" dxfId="220" priority="206">
      <formula>$B28="完了"</formula>
    </cfRule>
  </conditionalFormatting>
  <conditionalFormatting sqref="L30">
    <cfRule type="expression" dxfId="219" priority="205">
      <formula>$B30="完了"</formula>
    </cfRule>
  </conditionalFormatting>
  <conditionalFormatting sqref="T28">
    <cfRule type="expression" dxfId="218" priority="204">
      <formula>$B28="完了"</formula>
    </cfRule>
  </conditionalFormatting>
  <conditionalFormatting sqref="T29">
    <cfRule type="expression" dxfId="217" priority="203">
      <formula>$B29="完了"</formula>
    </cfRule>
  </conditionalFormatting>
  <conditionalFormatting sqref="V29">
    <cfRule type="expression" dxfId="216" priority="202">
      <formula>$B29="完了"</formula>
    </cfRule>
  </conditionalFormatting>
  <conditionalFormatting sqref="V27">
    <cfRule type="expression" dxfId="215" priority="201">
      <formula>$B27="完了"</formula>
    </cfRule>
  </conditionalFormatting>
  <conditionalFormatting sqref="V27">
    <cfRule type="expression" dxfId="214" priority="200">
      <formula>$B27="完了"</formula>
    </cfRule>
  </conditionalFormatting>
  <conditionalFormatting sqref="V27">
    <cfRule type="expression" dxfId="213" priority="199">
      <formula>$B27="完了"</formula>
    </cfRule>
  </conditionalFormatting>
  <conditionalFormatting sqref="V27">
    <cfRule type="expression" dxfId="212" priority="198">
      <formula>$B27="完了"</formula>
    </cfRule>
  </conditionalFormatting>
  <conditionalFormatting sqref="V28">
    <cfRule type="expression" dxfId="211" priority="197">
      <formula>$B28="完了"</formula>
    </cfRule>
  </conditionalFormatting>
  <conditionalFormatting sqref="V28">
    <cfRule type="expression" dxfId="210" priority="196">
      <formula>$B28="完了"</formula>
    </cfRule>
  </conditionalFormatting>
  <conditionalFormatting sqref="V28">
    <cfRule type="expression" dxfId="209" priority="195">
      <formula>$B28="完了"</formula>
    </cfRule>
  </conditionalFormatting>
  <conditionalFormatting sqref="V28">
    <cfRule type="expression" dxfId="208" priority="194">
      <formula>$B28="完了"</formula>
    </cfRule>
  </conditionalFormatting>
  <conditionalFormatting sqref="V30">
    <cfRule type="expression" dxfId="207" priority="193">
      <formula>$B30="完了"</formula>
    </cfRule>
  </conditionalFormatting>
  <conditionalFormatting sqref="V30">
    <cfRule type="expression" dxfId="206" priority="192">
      <formula>$B30="完了"</formula>
    </cfRule>
  </conditionalFormatting>
  <conditionalFormatting sqref="V30">
    <cfRule type="expression" dxfId="205" priority="191">
      <formula>$B30="完了"</formula>
    </cfRule>
  </conditionalFormatting>
  <conditionalFormatting sqref="V30">
    <cfRule type="expression" dxfId="204" priority="190">
      <formula>$B30="完了"</formula>
    </cfRule>
  </conditionalFormatting>
  <conditionalFormatting sqref="V31">
    <cfRule type="expression" dxfId="203" priority="189">
      <formula>$B31="完了"</formula>
    </cfRule>
  </conditionalFormatting>
  <conditionalFormatting sqref="V31">
    <cfRule type="expression" dxfId="202" priority="188">
      <formula>$B31="完了"</formula>
    </cfRule>
  </conditionalFormatting>
  <conditionalFormatting sqref="V31">
    <cfRule type="expression" dxfId="201" priority="187">
      <formula>$B31="完了"</formula>
    </cfRule>
  </conditionalFormatting>
  <conditionalFormatting sqref="V31">
    <cfRule type="expression" dxfId="200" priority="186">
      <formula>$B31="完了"</formula>
    </cfRule>
  </conditionalFormatting>
  <conditionalFormatting sqref="Z28">
    <cfRule type="expression" dxfId="199" priority="185">
      <formula>$B28="完了"</formula>
    </cfRule>
  </conditionalFormatting>
  <conditionalFormatting sqref="Z29">
    <cfRule type="expression" dxfId="198" priority="184">
      <formula>$B29="完了"</formula>
    </cfRule>
  </conditionalFormatting>
  <conditionalFormatting sqref="AB27 AB31">
    <cfRule type="expression" dxfId="197" priority="183">
      <formula>$B27="完了"</formula>
    </cfRule>
  </conditionalFormatting>
  <conditionalFormatting sqref="AB28">
    <cfRule type="expression" dxfId="196" priority="182">
      <formula>$B28="完了"</formula>
    </cfRule>
  </conditionalFormatting>
  <conditionalFormatting sqref="AB29">
    <cfRule type="expression" dxfId="195" priority="181">
      <formula>$B29="完了"</formula>
    </cfRule>
  </conditionalFormatting>
  <conditionalFormatting sqref="AB30">
    <cfRule type="expression" dxfId="194" priority="180">
      <formula>$B30="完了"</formula>
    </cfRule>
  </conditionalFormatting>
  <conditionalFormatting sqref="K27 K31">
    <cfRule type="expression" dxfId="193" priority="179">
      <formula>$B27="完了"</formula>
    </cfRule>
  </conditionalFormatting>
  <conditionalFormatting sqref="K28">
    <cfRule type="expression" dxfId="192" priority="178">
      <formula>$B28="完了"</formula>
    </cfRule>
  </conditionalFormatting>
  <conditionalFormatting sqref="H29">
    <cfRule type="expression" dxfId="191" priority="177">
      <formula>$B29="完了"</formula>
    </cfRule>
  </conditionalFormatting>
  <conditionalFormatting sqref="I29">
    <cfRule type="expression" dxfId="190" priority="176">
      <formula>$B29="完了"</formula>
    </cfRule>
  </conditionalFormatting>
  <conditionalFormatting sqref="J29">
    <cfRule type="expression" dxfId="189" priority="175">
      <formula>$B29="完了"</formula>
    </cfRule>
  </conditionalFormatting>
  <conditionalFormatting sqref="L29">
    <cfRule type="expression" dxfId="188" priority="174">
      <formula>$B29="完了"</formula>
    </cfRule>
  </conditionalFormatting>
  <conditionalFormatting sqref="K29">
    <cfRule type="expression" dxfId="187" priority="173">
      <formula>$B29="完了"</formula>
    </cfRule>
  </conditionalFormatting>
  <conditionalFormatting sqref="F30">
    <cfRule type="expression" dxfId="186" priority="172">
      <formula>$B30="完了"</formula>
    </cfRule>
  </conditionalFormatting>
  <conditionalFormatting sqref="H30">
    <cfRule type="expression" dxfId="185" priority="171">
      <formula>$B30="完了"</formula>
    </cfRule>
  </conditionalFormatting>
  <conditionalFormatting sqref="I30">
    <cfRule type="expression" dxfId="184" priority="170">
      <formula>$B30="完了"</formula>
    </cfRule>
  </conditionalFormatting>
  <conditionalFormatting sqref="K30">
    <cfRule type="expression" dxfId="183" priority="169">
      <formula>$B30="完了"</formula>
    </cfRule>
  </conditionalFormatting>
  <conditionalFormatting sqref="J31">
    <cfRule type="expression" dxfId="182" priority="168">
      <formula>$B31="完了"</formula>
    </cfRule>
  </conditionalFormatting>
  <conditionalFormatting sqref="I31">
    <cfRule type="expression" dxfId="181" priority="167">
      <formula>$B31="完了"</formula>
    </cfRule>
  </conditionalFormatting>
  <conditionalFormatting sqref="L31">
    <cfRule type="expression" dxfId="180" priority="166">
      <formula>$B31="完了"</formula>
    </cfRule>
  </conditionalFormatting>
  <conditionalFormatting sqref="H28">
    <cfRule type="expression" dxfId="179" priority="165">
      <formula>$B28="完了"</formula>
    </cfRule>
  </conditionalFormatting>
  <conditionalFormatting sqref="I28">
    <cfRule type="expression" dxfId="178" priority="164">
      <formula>$B28="完了"</formula>
    </cfRule>
  </conditionalFormatting>
  <conditionalFormatting sqref="H32">
    <cfRule type="expression" dxfId="177" priority="163">
      <formula>$B32="完了"</formula>
    </cfRule>
  </conditionalFormatting>
  <conditionalFormatting sqref="H32">
    <cfRule type="expression" dxfId="176" priority="162">
      <formula>$B32="完了"</formula>
    </cfRule>
  </conditionalFormatting>
  <conditionalFormatting sqref="F4:F9">
    <cfRule type="expression" dxfId="175" priority="161">
      <formula>$B4="完了"</formula>
    </cfRule>
  </conditionalFormatting>
  <conditionalFormatting sqref="H7">
    <cfRule type="expression" dxfId="174" priority="160">
      <formula>$B7="完了"</formula>
    </cfRule>
  </conditionalFormatting>
  <conditionalFormatting sqref="H8">
    <cfRule type="expression" dxfId="173" priority="159">
      <formula>$B8="完了"</formula>
    </cfRule>
  </conditionalFormatting>
  <conditionalFormatting sqref="I8">
    <cfRule type="expression" dxfId="172" priority="158">
      <formula>$B8="完了"</formula>
    </cfRule>
  </conditionalFormatting>
  <conditionalFormatting sqref="J4">
    <cfRule type="expression" dxfId="171" priority="156">
      <formula>$B4="完了"</formula>
    </cfRule>
  </conditionalFormatting>
  <conditionalFormatting sqref="J6">
    <cfRule type="expression" dxfId="170" priority="155">
      <formula>$B6="完了"</formula>
    </cfRule>
  </conditionalFormatting>
  <conditionalFormatting sqref="J8">
    <cfRule type="expression" dxfId="169" priority="154">
      <formula>$B8="完了"</formula>
    </cfRule>
  </conditionalFormatting>
  <conditionalFormatting sqref="J9">
    <cfRule type="expression" dxfId="168" priority="153">
      <formula>$B9="完了"</formula>
    </cfRule>
  </conditionalFormatting>
  <conditionalFormatting sqref="L4">
    <cfRule type="expression" dxfId="167" priority="152">
      <formula>$B4="完了"</formula>
    </cfRule>
  </conditionalFormatting>
  <conditionalFormatting sqref="L6">
    <cfRule type="expression" dxfId="166" priority="151">
      <formula>$B6="完了"</formula>
    </cfRule>
  </conditionalFormatting>
  <conditionalFormatting sqref="L8">
    <cfRule type="expression" dxfId="165" priority="150">
      <formula>$B8="完了"</formula>
    </cfRule>
  </conditionalFormatting>
  <conditionalFormatting sqref="L9">
    <cfRule type="expression" dxfId="164" priority="149">
      <formula>$B9="完了"</formula>
    </cfRule>
  </conditionalFormatting>
  <conditionalFormatting sqref="T4 T6:T8">
    <cfRule type="expression" dxfId="163" priority="148">
      <formula>$B4="完了"</formula>
    </cfRule>
  </conditionalFormatting>
  <conditionalFormatting sqref="T4">
    <cfRule type="expression" dxfId="162" priority="147">
      <formula>$B4="完了"</formula>
    </cfRule>
  </conditionalFormatting>
  <conditionalFormatting sqref="T5">
    <cfRule type="expression" dxfId="161" priority="146">
      <formula>$B5="完了"</formula>
    </cfRule>
  </conditionalFormatting>
  <conditionalFormatting sqref="T8">
    <cfRule type="expression" dxfId="160" priority="145">
      <formula>$B8="完了"</formula>
    </cfRule>
  </conditionalFormatting>
  <conditionalFormatting sqref="T9">
    <cfRule type="expression" dxfId="159" priority="144">
      <formula>$B9="完了"</formula>
    </cfRule>
  </conditionalFormatting>
  <conditionalFormatting sqref="V5">
    <cfRule type="expression" dxfId="158" priority="143">
      <formula>$B5="完了"</formula>
    </cfRule>
  </conditionalFormatting>
  <conditionalFormatting sqref="V8">
    <cfRule type="expression" dxfId="157" priority="142">
      <formula>$B8="完了"</formula>
    </cfRule>
  </conditionalFormatting>
  <conditionalFormatting sqref="V9">
    <cfRule type="expression" dxfId="156" priority="141">
      <formula>$B9="完了"</formula>
    </cfRule>
  </conditionalFormatting>
  <conditionalFormatting sqref="V4">
    <cfRule type="expression" dxfId="155" priority="140">
      <formula>$B4="完了"</formula>
    </cfRule>
  </conditionalFormatting>
  <conditionalFormatting sqref="V4">
    <cfRule type="expression" dxfId="154" priority="139">
      <formula>$B4="完了"</formula>
    </cfRule>
  </conditionalFormatting>
  <conditionalFormatting sqref="V4">
    <cfRule type="expression" dxfId="153" priority="138">
      <formula>$B4="完了"</formula>
    </cfRule>
  </conditionalFormatting>
  <conditionalFormatting sqref="V4">
    <cfRule type="expression" dxfId="152" priority="137">
      <formula>$B4="完了"</formula>
    </cfRule>
  </conditionalFormatting>
  <conditionalFormatting sqref="V6">
    <cfRule type="expression" dxfId="151" priority="136">
      <formula>$B6="完了"</formula>
    </cfRule>
  </conditionalFormatting>
  <conditionalFormatting sqref="V6">
    <cfRule type="expression" dxfId="150" priority="135">
      <formula>$B6="完了"</formula>
    </cfRule>
  </conditionalFormatting>
  <conditionalFormatting sqref="V6">
    <cfRule type="expression" dxfId="149" priority="134">
      <formula>$B6="完了"</formula>
    </cfRule>
  </conditionalFormatting>
  <conditionalFormatting sqref="V6">
    <cfRule type="expression" dxfId="148" priority="133">
      <formula>$B6="完了"</formula>
    </cfRule>
  </conditionalFormatting>
  <conditionalFormatting sqref="V7">
    <cfRule type="expression" dxfId="147" priority="132">
      <formula>$B7="完了"</formula>
    </cfRule>
  </conditionalFormatting>
  <conditionalFormatting sqref="V7">
    <cfRule type="expression" dxfId="146" priority="131">
      <formula>$B7="完了"</formula>
    </cfRule>
  </conditionalFormatting>
  <conditionalFormatting sqref="V7">
    <cfRule type="expression" dxfId="145" priority="130">
      <formula>$B7="完了"</formula>
    </cfRule>
  </conditionalFormatting>
  <conditionalFormatting sqref="V7">
    <cfRule type="expression" dxfId="144" priority="129">
      <formula>$B7="完了"</formula>
    </cfRule>
  </conditionalFormatting>
  <conditionalFormatting sqref="Z4 Z6:Z8">
    <cfRule type="expression" dxfId="143" priority="128">
      <formula>$B4="完了"</formula>
    </cfRule>
  </conditionalFormatting>
  <conditionalFormatting sqref="Z4">
    <cfRule type="expression" dxfId="142" priority="127">
      <formula>$B4="完了"</formula>
    </cfRule>
  </conditionalFormatting>
  <conditionalFormatting sqref="Z5">
    <cfRule type="expression" dxfId="141" priority="126">
      <formula>$B5="完了"</formula>
    </cfRule>
  </conditionalFormatting>
  <conditionalFormatting sqref="Z8">
    <cfRule type="expression" dxfId="140" priority="125">
      <formula>$B8="完了"</formula>
    </cfRule>
  </conditionalFormatting>
  <conditionalFormatting sqref="Z9">
    <cfRule type="expression" dxfId="139" priority="124">
      <formula>$B9="完了"</formula>
    </cfRule>
  </conditionalFormatting>
  <conditionalFormatting sqref="AB7">
    <cfRule type="expression" dxfId="138" priority="123">
      <formula>$B7="完了"</formula>
    </cfRule>
  </conditionalFormatting>
  <conditionalFormatting sqref="AB4">
    <cfRule type="expression" dxfId="137" priority="122">
      <formula>$B4="完了"</formula>
    </cfRule>
  </conditionalFormatting>
  <conditionalFormatting sqref="AB8">
    <cfRule type="expression" dxfId="136" priority="119">
      <formula>$B8="完了"</formula>
    </cfRule>
  </conditionalFormatting>
  <conditionalFormatting sqref="AB9">
    <cfRule type="expression" dxfId="135" priority="118">
      <formula>$B9="完了"</formula>
    </cfRule>
  </conditionalFormatting>
  <conditionalFormatting sqref="K7">
    <cfRule type="expression" dxfId="134" priority="117">
      <formula>$B7="完了"</formula>
    </cfRule>
  </conditionalFormatting>
  <conditionalFormatting sqref="K4">
    <cfRule type="expression" dxfId="133" priority="116">
      <formula>$B4="完了"</formula>
    </cfRule>
  </conditionalFormatting>
  <conditionalFormatting sqref="K8">
    <cfRule type="expression" dxfId="132" priority="115">
      <formula>$B8="完了"</formula>
    </cfRule>
  </conditionalFormatting>
  <conditionalFormatting sqref="K9">
    <cfRule type="expression" dxfId="131" priority="114">
      <formula>$B9="完了"</formula>
    </cfRule>
  </conditionalFormatting>
  <conditionalFormatting sqref="H5">
    <cfRule type="expression" dxfId="130" priority="113">
      <formula>$B5="完了"</formula>
    </cfRule>
  </conditionalFormatting>
  <conditionalFormatting sqref="I5">
    <cfRule type="expression" dxfId="129" priority="112">
      <formula>$B5="完了"</formula>
    </cfRule>
  </conditionalFormatting>
  <conditionalFormatting sqref="J5">
    <cfRule type="expression" dxfId="128" priority="111">
      <formula>$B5="完了"</formula>
    </cfRule>
  </conditionalFormatting>
  <conditionalFormatting sqref="L5">
    <cfRule type="expression" dxfId="127" priority="110">
      <formula>$B5="完了"</formula>
    </cfRule>
  </conditionalFormatting>
  <conditionalFormatting sqref="K5">
    <cfRule type="expression" dxfId="126" priority="109">
      <formula>$B5="完了"</formula>
    </cfRule>
  </conditionalFormatting>
  <conditionalFormatting sqref="F6">
    <cfRule type="expression" dxfId="125" priority="108">
      <formula>$B6="完了"</formula>
    </cfRule>
  </conditionalFormatting>
  <conditionalFormatting sqref="H6">
    <cfRule type="expression" dxfId="124" priority="107">
      <formula>$B6="完了"</formula>
    </cfRule>
  </conditionalFormatting>
  <conditionalFormatting sqref="I6">
    <cfRule type="expression" dxfId="123" priority="106">
      <formula>$B6="完了"</formula>
    </cfRule>
  </conditionalFormatting>
  <conditionalFormatting sqref="K6">
    <cfRule type="expression" dxfId="122" priority="105">
      <formula>$B6="完了"</formula>
    </cfRule>
  </conditionalFormatting>
  <conditionalFormatting sqref="J7">
    <cfRule type="expression" dxfId="121" priority="104">
      <formula>$B7="完了"</formula>
    </cfRule>
  </conditionalFormatting>
  <conditionalFormatting sqref="I7">
    <cfRule type="expression" dxfId="120" priority="103">
      <formula>$B7="完了"</formula>
    </cfRule>
  </conditionalFormatting>
  <conditionalFormatting sqref="L7">
    <cfRule type="expression" dxfId="119" priority="102">
      <formula>$B7="完了"</formula>
    </cfRule>
  </conditionalFormatting>
  <conditionalFormatting sqref="H4">
    <cfRule type="expression" dxfId="118" priority="101">
      <formula>$B4="完了"</formula>
    </cfRule>
  </conditionalFormatting>
  <conditionalFormatting sqref="I4">
    <cfRule type="expression" dxfId="117" priority="100">
      <formula>$B4="完了"</formula>
    </cfRule>
  </conditionalFormatting>
  <conditionalFormatting sqref="H4">
    <cfRule type="expression" dxfId="116" priority="99">
      <formula>$B4="完了"</formula>
    </cfRule>
  </conditionalFormatting>
  <conditionalFormatting sqref="H8">
    <cfRule type="expression" dxfId="115" priority="98">
      <formula>$B8="完了"</formula>
    </cfRule>
  </conditionalFormatting>
  <conditionalFormatting sqref="I4">
    <cfRule type="expression" dxfId="114" priority="97">
      <formula>$B4="完了"</formula>
    </cfRule>
  </conditionalFormatting>
  <conditionalFormatting sqref="J4">
    <cfRule type="expression" dxfId="113" priority="96">
      <formula>$B4="完了"</formula>
    </cfRule>
  </conditionalFormatting>
  <conditionalFormatting sqref="J5">
    <cfRule type="expression" dxfId="112" priority="95">
      <formula>$B5="完了"</formula>
    </cfRule>
  </conditionalFormatting>
  <conditionalFormatting sqref="J7">
    <cfRule type="expression" dxfId="111" priority="94">
      <formula>$B7="完了"</formula>
    </cfRule>
  </conditionalFormatting>
  <conditionalFormatting sqref="L4">
    <cfRule type="expression" dxfId="110" priority="93">
      <formula>$B4="完了"</formula>
    </cfRule>
  </conditionalFormatting>
  <conditionalFormatting sqref="L5">
    <cfRule type="expression" dxfId="109" priority="92">
      <formula>$B5="完了"</formula>
    </cfRule>
  </conditionalFormatting>
  <conditionalFormatting sqref="L7">
    <cfRule type="expression" dxfId="108" priority="91">
      <formula>$B7="完了"</formula>
    </cfRule>
  </conditionalFormatting>
  <conditionalFormatting sqref="T5">
    <cfRule type="expression" dxfId="107" priority="90">
      <formula>$B5="完了"</formula>
    </cfRule>
  </conditionalFormatting>
  <conditionalFormatting sqref="T6">
    <cfRule type="expression" dxfId="106" priority="89">
      <formula>$B6="完了"</formula>
    </cfRule>
  </conditionalFormatting>
  <conditionalFormatting sqref="V6">
    <cfRule type="expression" dxfId="105" priority="88">
      <formula>$B6="完了"</formula>
    </cfRule>
  </conditionalFormatting>
  <conditionalFormatting sqref="V4">
    <cfRule type="expression" dxfId="104" priority="87">
      <formula>$B4="完了"</formula>
    </cfRule>
  </conditionalFormatting>
  <conditionalFormatting sqref="V4">
    <cfRule type="expression" dxfId="103" priority="86">
      <formula>$B4="完了"</formula>
    </cfRule>
  </conditionalFormatting>
  <conditionalFormatting sqref="V4">
    <cfRule type="expression" dxfId="102" priority="85">
      <formula>$B4="完了"</formula>
    </cfRule>
  </conditionalFormatting>
  <conditionalFormatting sqref="V4">
    <cfRule type="expression" dxfId="101" priority="84">
      <formula>$B4="完了"</formula>
    </cfRule>
  </conditionalFormatting>
  <conditionalFormatting sqref="V5">
    <cfRule type="expression" dxfId="100" priority="83">
      <formula>$B5="完了"</formula>
    </cfRule>
  </conditionalFormatting>
  <conditionalFormatting sqref="V5">
    <cfRule type="expression" dxfId="99" priority="82">
      <formula>$B5="完了"</formula>
    </cfRule>
  </conditionalFormatting>
  <conditionalFormatting sqref="V5">
    <cfRule type="expression" dxfId="98" priority="81">
      <formula>$B5="完了"</formula>
    </cfRule>
  </conditionalFormatting>
  <conditionalFormatting sqref="V5">
    <cfRule type="expression" dxfId="97" priority="80">
      <formula>$B5="完了"</formula>
    </cfRule>
  </conditionalFormatting>
  <conditionalFormatting sqref="V7">
    <cfRule type="expression" dxfId="96" priority="79">
      <formula>$B7="完了"</formula>
    </cfRule>
  </conditionalFormatting>
  <conditionalFormatting sqref="V7">
    <cfRule type="expression" dxfId="95" priority="78">
      <formula>$B7="完了"</formula>
    </cfRule>
  </conditionalFormatting>
  <conditionalFormatting sqref="V7">
    <cfRule type="expression" dxfId="94" priority="77">
      <formula>$B7="完了"</formula>
    </cfRule>
  </conditionalFormatting>
  <conditionalFormatting sqref="V7">
    <cfRule type="expression" dxfId="93" priority="76">
      <formula>$B7="完了"</formula>
    </cfRule>
  </conditionalFormatting>
  <conditionalFormatting sqref="V8">
    <cfRule type="expression" dxfId="92" priority="75">
      <formula>$B8="完了"</formula>
    </cfRule>
  </conditionalFormatting>
  <conditionalFormatting sqref="V8">
    <cfRule type="expression" dxfId="91" priority="74">
      <formula>$B8="完了"</formula>
    </cfRule>
  </conditionalFormatting>
  <conditionalFormatting sqref="V8">
    <cfRule type="expression" dxfId="90" priority="73">
      <formula>$B8="完了"</formula>
    </cfRule>
  </conditionalFormatting>
  <conditionalFormatting sqref="V8">
    <cfRule type="expression" dxfId="89" priority="72">
      <formula>$B8="完了"</formula>
    </cfRule>
  </conditionalFormatting>
  <conditionalFormatting sqref="Z5">
    <cfRule type="expression" dxfId="88" priority="71">
      <formula>$B5="完了"</formula>
    </cfRule>
  </conditionalFormatting>
  <conditionalFormatting sqref="Z6">
    <cfRule type="expression" dxfId="87" priority="70">
      <formula>$B6="完了"</formula>
    </cfRule>
  </conditionalFormatting>
  <conditionalFormatting sqref="AB4 AB8">
    <cfRule type="expression" dxfId="86" priority="69">
      <formula>$B4="完了"</formula>
    </cfRule>
  </conditionalFormatting>
  <conditionalFormatting sqref="AB7">
    <cfRule type="expression" dxfId="85" priority="66">
      <formula>$B7="完了"</formula>
    </cfRule>
  </conditionalFormatting>
  <conditionalFormatting sqref="K4 K8">
    <cfRule type="expression" dxfId="84" priority="65">
      <formula>$B4="完了"</formula>
    </cfRule>
  </conditionalFormatting>
  <conditionalFormatting sqref="K5">
    <cfRule type="expression" dxfId="83" priority="64">
      <formula>$B5="完了"</formula>
    </cfRule>
  </conditionalFormatting>
  <conditionalFormatting sqref="H6">
    <cfRule type="expression" dxfId="82" priority="63">
      <formula>$B6="完了"</formula>
    </cfRule>
  </conditionalFormatting>
  <conditionalFormatting sqref="I6">
    <cfRule type="expression" dxfId="81" priority="62">
      <formula>$B6="完了"</formula>
    </cfRule>
  </conditionalFormatting>
  <conditionalFormatting sqref="J6">
    <cfRule type="expression" dxfId="80" priority="61">
      <formula>$B6="完了"</formula>
    </cfRule>
  </conditionalFormatting>
  <conditionalFormatting sqref="L6">
    <cfRule type="expression" dxfId="79" priority="60">
      <formula>$B6="完了"</formula>
    </cfRule>
  </conditionalFormatting>
  <conditionalFormatting sqref="K6">
    <cfRule type="expression" dxfId="78" priority="59">
      <formula>$B6="完了"</formula>
    </cfRule>
  </conditionalFormatting>
  <conditionalFormatting sqref="F7">
    <cfRule type="expression" dxfId="77" priority="58">
      <formula>$B7="完了"</formula>
    </cfRule>
  </conditionalFormatting>
  <conditionalFormatting sqref="H7">
    <cfRule type="expression" dxfId="76" priority="57">
      <formula>$B7="完了"</formula>
    </cfRule>
  </conditionalFormatting>
  <conditionalFormatting sqref="I7">
    <cfRule type="expression" dxfId="75" priority="56">
      <formula>$B7="完了"</formula>
    </cfRule>
  </conditionalFormatting>
  <conditionalFormatting sqref="K7">
    <cfRule type="expression" dxfId="74" priority="55">
      <formula>$B7="完了"</formula>
    </cfRule>
  </conditionalFormatting>
  <conditionalFormatting sqref="J8">
    <cfRule type="expression" dxfId="73" priority="54">
      <formula>$B8="完了"</formula>
    </cfRule>
  </conditionalFormatting>
  <conditionalFormatting sqref="I8">
    <cfRule type="expression" dxfId="72" priority="53">
      <formula>$B8="完了"</formula>
    </cfRule>
  </conditionalFormatting>
  <conditionalFormatting sqref="L8">
    <cfRule type="expression" dxfId="71" priority="52">
      <formula>$B8="完了"</formula>
    </cfRule>
  </conditionalFormatting>
  <conditionalFormatting sqref="H5">
    <cfRule type="expression" dxfId="70" priority="51">
      <formula>$B5="完了"</formula>
    </cfRule>
  </conditionalFormatting>
  <conditionalFormatting sqref="I5">
    <cfRule type="expression" dxfId="69" priority="50">
      <formula>$B5="完了"</formula>
    </cfRule>
  </conditionalFormatting>
  <conditionalFormatting sqref="H9">
    <cfRule type="expression" dxfId="68" priority="49">
      <formula>$B9="完了"</formula>
    </cfRule>
  </conditionalFormatting>
  <conditionalFormatting sqref="H9">
    <cfRule type="expression" dxfId="67" priority="48">
      <formula>$B9="完了"</formula>
    </cfRule>
  </conditionalFormatting>
  <conditionalFormatting sqref="I9">
    <cfRule type="expression" dxfId="66" priority="47">
      <formula>$B9="完了"</formula>
    </cfRule>
  </conditionalFormatting>
  <conditionalFormatting sqref="I9">
    <cfRule type="expression" dxfId="65" priority="46">
      <formula>$B9="完了"</formula>
    </cfRule>
  </conditionalFormatting>
  <conditionalFormatting sqref="H10">
    <cfRule type="expression" dxfId="64" priority="45">
      <formula>$B10="完了"</formula>
    </cfRule>
  </conditionalFormatting>
  <conditionalFormatting sqref="H10">
    <cfRule type="expression" dxfId="63" priority="44">
      <formula>$B10="完了"</formula>
    </cfRule>
  </conditionalFormatting>
  <conditionalFormatting sqref="I10">
    <cfRule type="expression" dxfId="62" priority="43">
      <formula>$B10="完了"</formula>
    </cfRule>
  </conditionalFormatting>
  <conditionalFormatting sqref="I10">
    <cfRule type="expression" dxfId="61" priority="42">
      <formula>$B10="完了"</formula>
    </cfRule>
  </conditionalFormatting>
  <conditionalFormatting sqref="K10">
    <cfRule type="expression" dxfId="60" priority="41">
      <formula>$B10="完了"</formula>
    </cfRule>
  </conditionalFormatting>
  <conditionalFormatting sqref="L10">
    <cfRule type="expression" dxfId="59" priority="40">
      <formula>$B10="完了"</formula>
    </cfRule>
  </conditionalFormatting>
  <conditionalFormatting sqref="AB10">
    <cfRule type="expression" dxfId="58" priority="39">
      <formula>$B10="完了"</formula>
    </cfRule>
  </conditionalFormatting>
  <conditionalFormatting sqref="AB5">
    <cfRule type="expression" dxfId="57" priority="38">
      <formula>$B5="完了"</formula>
    </cfRule>
  </conditionalFormatting>
  <conditionalFormatting sqref="AB5">
    <cfRule type="expression" dxfId="56" priority="37">
      <formula>$B5="完了"</formula>
    </cfRule>
  </conditionalFormatting>
  <conditionalFormatting sqref="AB6">
    <cfRule type="expression" dxfId="55" priority="36">
      <formula>$B6="完了"</formula>
    </cfRule>
  </conditionalFormatting>
  <conditionalFormatting sqref="AB6">
    <cfRule type="expression" dxfId="54" priority="35">
      <formula>$B6="完了"</formula>
    </cfRule>
  </conditionalFormatting>
  <conditionalFormatting sqref="AB12">
    <cfRule type="expression" dxfId="53" priority="34">
      <formula>$B12="完了"</formula>
    </cfRule>
  </conditionalFormatting>
  <conditionalFormatting sqref="H13">
    <cfRule type="expression" dxfId="52" priority="33">
      <formula>$B13="完了"</formula>
    </cfRule>
  </conditionalFormatting>
  <conditionalFormatting sqref="I13">
    <cfRule type="expression" dxfId="51" priority="32">
      <formula>$B13="完了"</formula>
    </cfRule>
  </conditionalFormatting>
  <conditionalFormatting sqref="J13">
    <cfRule type="expression" dxfId="50" priority="31">
      <formula>$B13="完了"</formula>
    </cfRule>
  </conditionalFormatting>
  <conditionalFormatting sqref="L13">
    <cfRule type="expression" dxfId="49" priority="30">
      <formula>$B13="完了"</formula>
    </cfRule>
  </conditionalFormatting>
  <conditionalFormatting sqref="K13">
    <cfRule type="expression" dxfId="48" priority="29">
      <formula>$B13="完了"</formula>
    </cfRule>
  </conditionalFormatting>
  <conditionalFormatting sqref="AB13">
    <cfRule type="expression" dxfId="47" priority="28">
      <formula>$B13="完了"</formula>
    </cfRule>
  </conditionalFormatting>
  <conditionalFormatting sqref="H14">
    <cfRule type="expression" dxfId="46" priority="27">
      <formula>$B14="完了"</formula>
    </cfRule>
  </conditionalFormatting>
  <conditionalFormatting sqref="I14">
    <cfRule type="expression" dxfId="45" priority="26">
      <formula>$B14="完了"</formula>
    </cfRule>
  </conditionalFormatting>
  <conditionalFormatting sqref="J14">
    <cfRule type="expression" dxfId="44" priority="25">
      <formula>$B14="完了"</formula>
    </cfRule>
  </conditionalFormatting>
  <conditionalFormatting sqref="L14">
    <cfRule type="expression" dxfId="43" priority="24">
      <formula>$B14="完了"</formula>
    </cfRule>
  </conditionalFormatting>
  <conditionalFormatting sqref="K14">
    <cfRule type="expression" dxfId="42" priority="23">
      <formula>$B14="完了"</formula>
    </cfRule>
  </conditionalFormatting>
  <conditionalFormatting sqref="AB14">
    <cfRule type="expression" dxfId="41" priority="22">
      <formula>$B14="完了"</formula>
    </cfRule>
  </conditionalFormatting>
  <conditionalFormatting sqref="J15">
    <cfRule type="expression" dxfId="40" priority="21">
      <formula>$B15="完了"</formula>
    </cfRule>
  </conditionalFormatting>
  <conditionalFormatting sqref="J15">
    <cfRule type="expression" dxfId="39" priority="20">
      <formula>$B15="完了"</formula>
    </cfRule>
  </conditionalFormatting>
  <conditionalFormatting sqref="K15">
    <cfRule type="expression" dxfId="38" priority="19">
      <formula>$B15="完了"</formula>
    </cfRule>
  </conditionalFormatting>
  <conditionalFormatting sqref="L15">
    <cfRule type="expression" dxfId="37" priority="18">
      <formula>$B15="完了"</formula>
    </cfRule>
  </conditionalFormatting>
  <conditionalFormatting sqref="J16">
    <cfRule type="expression" dxfId="36" priority="17">
      <formula>$B16="完了"</formula>
    </cfRule>
  </conditionalFormatting>
  <conditionalFormatting sqref="J16">
    <cfRule type="expression" dxfId="35" priority="16">
      <formula>$B16="完了"</formula>
    </cfRule>
  </conditionalFormatting>
  <conditionalFormatting sqref="K16">
    <cfRule type="expression" dxfId="33" priority="15">
      <formula>$B16="完了"</formula>
    </cfRule>
  </conditionalFormatting>
  <conditionalFormatting sqref="L16">
    <cfRule type="expression" dxfId="32" priority="14">
      <formula>$B16="完了"</formula>
    </cfRule>
  </conditionalFormatting>
  <conditionalFormatting sqref="J17">
    <cfRule type="expression" dxfId="28" priority="13">
      <formula>$B17="完了"</formula>
    </cfRule>
  </conditionalFormatting>
  <conditionalFormatting sqref="J17">
    <cfRule type="expression" dxfId="26" priority="12">
      <formula>$B17="完了"</formula>
    </cfRule>
  </conditionalFormatting>
  <conditionalFormatting sqref="K17">
    <cfRule type="expression" dxfId="24" priority="11">
      <formula>$B17="完了"</formula>
    </cfRule>
  </conditionalFormatting>
  <conditionalFormatting sqref="L17">
    <cfRule type="expression" dxfId="22" priority="10">
      <formula>$B17="完了"</formula>
    </cfRule>
  </conditionalFormatting>
  <conditionalFormatting sqref="T17">
    <cfRule type="expression" dxfId="20" priority="9">
      <formula>$B17="完了"</formula>
    </cfRule>
  </conditionalFormatting>
  <conditionalFormatting sqref="F18">
    <cfRule type="expression" dxfId="17" priority="8">
      <formula>$B18="完了"</formula>
    </cfRule>
  </conditionalFormatting>
  <conditionalFormatting sqref="H18">
    <cfRule type="expression" dxfId="15" priority="7">
      <formula>$B18="完了"</formula>
    </cfRule>
  </conditionalFormatting>
  <conditionalFormatting sqref="I18">
    <cfRule type="expression" dxfId="13" priority="6">
      <formula>$B18="完了"</formula>
    </cfRule>
  </conditionalFormatting>
  <conditionalFormatting sqref="J18">
    <cfRule type="expression" dxfId="11" priority="5">
      <formula>$B18="完了"</formula>
    </cfRule>
  </conditionalFormatting>
  <conditionalFormatting sqref="J18">
    <cfRule type="expression" dxfId="9" priority="4">
      <formula>$B18="完了"</formula>
    </cfRule>
  </conditionalFormatting>
  <conditionalFormatting sqref="K18">
    <cfRule type="expression" dxfId="7" priority="3">
      <formula>$B18="完了"</formula>
    </cfRule>
  </conditionalFormatting>
  <conditionalFormatting sqref="L18">
    <cfRule type="expression" dxfId="3" priority="1">
      <formula>$B18="完了"</formula>
    </cfRule>
  </conditionalFormatting>
  <dataValidations count="21">
    <dataValidation type="decimal" operator="greaterThanOrEqual" allowBlank="1" showInputMessage="1" showErrorMessage="1" sqref="AP47:AS65451 AP4:AR46">
      <formula1>0</formula1>
    </dataValidation>
    <dataValidation operator="greaterThanOrEqual" allowBlank="1" showInputMessage="1" showErrorMessage="1" sqref="K1:K2"/>
    <dataValidation type="list" allowBlank="1" showInputMessage="1" showErrorMessage="1" sqref="AJ4:AJ46">
      <formula1>_SN02</formula1>
    </dataValidation>
    <dataValidation type="list" allowBlank="1" showInputMessage="1" showErrorMessage="1" sqref="U4:U46">
      <formula1>_SN09</formula1>
    </dataValidation>
    <dataValidation type="list" allowBlank="1" showInputMessage="1" showErrorMessage="1" sqref="X4:X46">
      <formula1>_SN10</formula1>
    </dataValidation>
    <dataValidation type="list" allowBlank="1" showInputMessage="1" showErrorMessage="1" sqref="G4:G46 AK4:AK46">
      <formula1>_SN03</formula1>
    </dataValidation>
    <dataValidation type="list" allowBlank="1" showInputMessage="1" showErrorMessage="1" sqref="M4:M46">
      <formula1>_SN04</formula1>
    </dataValidation>
    <dataValidation type="list" allowBlank="1" showInputMessage="1" showErrorMessage="1" sqref="E4:E46 V4:V46">
      <formula1>_SN01</formula1>
    </dataValidation>
    <dataValidation type="list" allowBlank="1" showInputMessage="1" showErrorMessage="1" sqref="O4:O46">
      <formula1>_SN05</formula1>
    </dataValidation>
    <dataValidation type="list" allowBlank="1" showInputMessage="1" showErrorMessage="1" sqref="P4:P46">
      <formula1>_SN06</formula1>
    </dataValidation>
    <dataValidation type="list" allowBlank="1" showInputMessage="1" showErrorMessage="1" sqref="Q4:Q46">
      <formula1>_SN07</formula1>
    </dataValidation>
    <dataValidation type="list" allowBlank="1" showInputMessage="1" showErrorMessage="1" sqref="R4:R46">
      <formula1>_SN08</formula1>
    </dataValidation>
    <dataValidation type="list" allowBlank="1" showInputMessage="1" showErrorMessage="1" sqref="Y4:Y46">
      <formula1>_SN11</formula1>
    </dataValidation>
    <dataValidation type="list" allowBlank="1" showInputMessage="1" showErrorMessage="1" sqref="AA4:AA46">
      <formula1>_SN12</formula1>
    </dataValidation>
    <dataValidation type="list" allowBlank="1" showInputMessage="1" showErrorMessage="1" sqref="N4:N46">
      <formula1>_SN13</formula1>
    </dataValidation>
    <dataValidation type="list" allowBlank="1" showInputMessage="1" showErrorMessage="1" sqref="AL4:AL46">
      <formula1>_SN14</formula1>
    </dataValidation>
    <dataValidation type="list" allowBlank="1" showInputMessage="1" showErrorMessage="1" sqref="AM4:AM46">
      <formula1>_SN15</formula1>
    </dataValidation>
    <dataValidation type="whole" operator="greaterThanOrEqual" allowBlank="1" showInputMessage="1" showErrorMessage="1" sqref="AS4:AS46">
      <formula1>0</formula1>
    </dataValidation>
    <dataValidation type="list" allowBlank="1" showErrorMessage="1" sqref="F4:F46">
      <formula1>_SN02</formula1>
    </dataValidation>
    <dataValidation type="list" allowBlank="1" showInputMessage="1" showErrorMessage="1" sqref="AN4:AN46">
      <formula1>_SN16</formula1>
    </dataValidation>
    <dataValidation type="date" operator="greaterThanOrEqual" allowBlank="1" showInputMessage="1" showErrorMessage="1" sqref="AB1:AD1048576 AF1:AG1048576 K3:K65451 I1:I1048576">
      <formula1>37987</formula1>
    </dataValidation>
  </dataValidations>
  <printOptions horizontalCentered="1" gridLinesSet="0"/>
  <pageMargins left="0" right="0" top="0.59055118110236227" bottom="0.39370078740157483" header="0.31496062992125984" footer="0.19685039370078741"/>
  <pageSetup paperSize="9" scale="43" fitToWidth="2" fitToHeight="0" pageOrder="overThenDown" orientation="landscape" r:id="rId1"/>
  <headerFooter alignWithMargins="0">
    <oddHeader>&amp;C&amp;"ＭＳ ゴシック,太字"&amp;16障害一覧&amp;R&amp;10&amp;D  &amp;T</oddHeader>
    <oddFooter>&amp;L&amp;10&amp;F&amp;C&amp;10&amp;P/&amp;N&amp;R&amp;10&amp;A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Line="0" autoPict="0" macro="[0]!WB_CLOSE">
                <anchor>
                  <from>
                    <xdr:col>0</xdr:col>
                    <xdr:colOff>9525</xdr:colOff>
                    <xdr:row>0</xdr:row>
                    <xdr:rowOff>9525</xdr:rowOff>
                  </from>
                  <to>
                    <xdr:col>2</xdr:col>
                    <xdr:colOff>466725</xdr:colOff>
                    <xdr:row>1</xdr:row>
                    <xdr:rowOff>9525</xdr:rowOff>
                  </to>
                </anchor>
              </controlPr>
            </control>
          </mc:Choice>
        </mc:AlternateContent>
        <mc:AlternateContent xmlns:mc="http://schemas.openxmlformats.org/markup-compatibility/2006">
          <mc:Choice Requires="x14">
            <control shapeId="1058" r:id="rId5" name="Button 34">
              <controlPr defaultSize="0" print="0" autoFill="0" autoLine="0" autoPict="0" macro="[0]!ProcMenu">
                <anchor>
                  <from>
                    <xdr:col>2</xdr:col>
                    <xdr:colOff>485775</xdr:colOff>
                    <xdr:row>0</xdr:row>
                    <xdr:rowOff>9525</xdr:rowOff>
                  </from>
                  <to>
                    <xdr:col>3</xdr:col>
                    <xdr:colOff>438150</xdr:colOff>
                    <xdr:row>1</xdr:row>
                    <xdr:rowOff>9525</xdr:rowOff>
                  </to>
                </anchor>
              </controlPr>
            </control>
          </mc:Choice>
        </mc:AlternateContent>
        <mc:AlternateContent xmlns:mc="http://schemas.openxmlformats.org/markup-compatibility/2006">
          <mc:Choice Requires="x14">
            <control shapeId="1065" r:id="rId6" name="Button 41">
              <controlPr defaultSize="0" print="0" autoFill="0" autoLine="0" autoPict="0" macro="[0]!SetFilterMode">
                <anchor>
                  <from>
                    <xdr:col>3</xdr:col>
                    <xdr:colOff>466725</xdr:colOff>
                    <xdr:row>0</xdr:row>
                    <xdr:rowOff>9525</xdr:rowOff>
                  </from>
                  <to>
                    <xdr:col>3</xdr:col>
                    <xdr:colOff>1200150</xdr:colOff>
                    <xdr:row>1</xdr:row>
                    <xdr:rowOff>9525</xdr:rowOff>
                  </to>
                </anchor>
              </controlPr>
            </control>
          </mc:Choice>
        </mc:AlternateContent>
        <mc:AlternateContent xmlns:mc="http://schemas.openxmlformats.org/markup-compatibility/2006">
          <mc:Choice Requires="x14">
            <control shapeId="1070" r:id="rId7" name="Button 46">
              <controlPr defaultSize="0" print="0" autoFill="0" autoPict="0" macro="[0]!RegistPjInfo">
                <anchor moveWithCells="1" sizeWithCells="1">
                  <from>
                    <xdr:col>3</xdr:col>
                    <xdr:colOff>1200150</xdr:colOff>
                    <xdr:row>0</xdr:row>
                    <xdr:rowOff>9525</xdr:rowOff>
                  </from>
                  <to>
                    <xdr:col>3</xdr:col>
                    <xdr:colOff>2343150</xdr:colOff>
                    <xdr:row>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42"/>
  <sheetViews>
    <sheetView showGridLines="0" zoomScaleNormal="100" workbookViewId="0">
      <pane ySplit="1" topLeftCell="A2" activePane="bottomLeft" state="frozen"/>
      <selection activeCell="C4" sqref="C4"/>
      <selection pane="bottomLeft" activeCell="B4" sqref="B4"/>
    </sheetView>
  </sheetViews>
  <sheetFormatPr defaultRowHeight="14.25"/>
  <cols>
    <col min="1" max="1" width="2.625" customWidth="1"/>
    <col min="2" max="2" width="5.125" customWidth="1"/>
    <col min="3" max="3" width="4.625" customWidth="1"/>
    <col min="7" max="8" width="0" hidden="1" customWidth="1"/>
    <col min="9" max="9" width="2.625" customWidth="1"/>
    <col min="10" max="10" width="5.125" customWidth="1"/>
    <col min="11" max="11" width="4.625" customWidth="1"/>
    <col min="15" max="16" width="0" hidden="1" customWidth="1"/>
    <col min="17" max="17" width="2.625" customWidth="1"/>
    <col min="18" max="18" width="5.125" customWidth="1"/>
    <col min="19" max="19" width="4.625" customWidth="1"/>
    <col min="23" max="24" width="0" hidden="1" customWidth="1"/>
    <col min="25" max="25" width="2.625" customWidth="1"/>
    <col min="26" max="26" width="5.125" customWidth="1"/>
    <col min="31" max="31" width="9" hidden="1" customWidth="1"/>
    <col min="32" max="32" width="2.625" hidden="1" customWidth="1"/>
    <col min="33" max="33" width="2.625" customWidth="1"/>
    <col min="34" max="34" width="5.125" customWidth="1"/>
    <col min="39" max="39" width="9" hidden="1" customWidth="1"/>
    <col min="40" max="40" width="2.625" hidden="1" customWidth="1"/>
    <col min="41" max="41" width="2.625" customWidth="1"/>
    <col min="42" max="42" width="5.125" customWidth="1"/>
    <col min="47" max="47" width="4.25" hidden="1" customWidth="1"/>
    <col min="48" max="48" width="0" hidden="1" customWidth="1"/>
  </cols>
  <sheetData>
    <row r="1" spans="1:17" ht="42.75" customHeight="1"/>
    <row r="2" spans="1:17" ht="15.75" customHeight="1">
      <c r="A2" s="61"/>
      <c r="B2" s="61"/>
      <c r="C2" s="61"/>
      <c r="D2" s="61"/>
      <c r="E2" s="61"/>
      <c r="F2" s="61"/>
      <c r="G2" s="61"/>
      <c r="H2" s="61"/>
      <c r="I2" s="61"/>
      <c r="J2" s="61"/>
      <c r="K2" s="61"/>
      <c r="L2" s="61"/>
      <c r="M2" s="61"/>
      <c r="N2" s="61"/>
      <c r="O2" s="61"/>
      <c r="P2" s="61"/>
      <c r="Q2" s="61"/>
    </row>
    <row r="3" spans="1:17" ht="5.25" customHeight="1">
      <c r="A3" s="61"/>
      <c r="B3" s="61"/>
      <c r="C3" s="61"/>
      <c r="D3" s="61"/>
      <c r="E3" s="61"/>
      <c r="F3" s="61"/>
      <c r="G3" s="61"/>
      <c r="H3" s="61"/>
      <c r="I3" s="61"/>
      <c r="J3" s="61"/>
      <c r="K3" s="61"/>
      <c r="L3" s="61"/>
      <c r="M3" s="61"/>
      <c r="N3" s="61"/>
      <c r="O3" s="61"/>
      <c r="P3" s="61"/>
      <c r="Q3" s="61"/>
    </row>
    <row r="4" spans="1:17">
      <c r="A4" s="61"/>
      <c r="B4" s="62"/>
      <c r="C4" s="62"/>
      <c r="D4" s="62"/>
      <c r="E4" s="62"/>
      <c r="F4" s="62"/>
      <c r="G4" s="61"/>
      <c r="H4" s="61"/>
      <c r="I4" s="61"/>
      <c r="J4" s="62"/>
      <c r="K4" s="62"/>
      <c r="L4" s="62"/>
      <c r="M4" s="62"/>
      <c r="N4" s="62"/>
      <c r="O4" s="61"/>
      <c r="P4" s="61"/>
      <c r="Q4" s="61"/>
    </row>
    <row r="5" spans="1:17">
      <c r="A5" s="61"/>
      <c r="B5" s="62"/>
      <c r="C5" s="62"/>
      <c r="D5" s="62"/>
      <c r="E5" s="62"/>
      <c r="F5" s="62"/>
      <c r="G5" s="61"/>
      <c r="H5" s="61"/>
      <c r="I5" s="61"/>
      <c r="J5" s="62"/>
      <c r="K5" s="62"/>
      <c r="L5" s="62"/>
      <c r="M5" s="62"/>
      <c r="N5" s="62"/>
      <c r="O5" s="61"/>
      <c r="P5" s="61"/>
      <c r="Q5" s="61"/>
    </row>
    <row r="6" spans="1:17">
      <c r="A6" s="61"/>
      <c r="B6" s="63"/>
      <c r="C6" s="64"/>
      <c r="D6" s="62"/>
      <c r="E6" s="62"/>
      <c r="F6" s="62"/>
      <c r="G6" s="61"/>
      <c r="H6" s="61"/>
      <c r="I6" s="61"/>
      <c r="J6" s="63"/>
      <c r="K6" s="64"/>
      <c r="L6" s="62"/>
      <c r="M6" s="62"/>
      <c r="N6" s="62"/>
      <c r="O6" s="61"/>
      <c r="P6" s="61"/>
      <c r="Q6" s="61"/>
    </row>
    <row r="7" spans="1:17">
      <c r="A7" s="61"/>
      <c r="B7" s="65"/>
      <c r="C7" s="64"/>
      <c r="D7" s="61"/>
      <c r="E7" s="61"/>
      <c r="F7" s="61"/>
      <c r="G7" s="61"/>
      <c r="H7" s="61"/>
      <c r="I7" s="61"/>
      <c r="J7" s="65"/>
      <c r="K7" s="64"/>
      <c r="L7" s="61"/>
      <c r="M7" s="61"/>
      <c r="N7" s="61"/>
      <c r="O7" s="61"/>
      <c r="P7" s="61"/>
      <c r="Q7" s="61"/>
    </row>
    <row r="8" spans="1:17">
      <c r="A8" s="61"/>
      <c r="B8" s="65"/>
      <c r="C8" s="64"/>
      <c r="D8" s="61"/>
      <c r="E8" s="61"/>
      <c r="F8" s="61"/>
      <c r="G8" s="61"/>
      <c r="H8" s="61"/>
      <c r="I8" s="61"/>
      <c r="J8" s="65"/>
      <c r="K8" s="64"/>
      <c r="L8" s="61"/>
      <c r="M8" s="61"/>
      <c r="N8" s="61"/>
      <c r="O8" s="61"/>
      <c r="P8" s="61"/>
      <c r="Q8" s="61"/>
    </row>
    <row r="9" spans="1:17">
      <c r="A9" s="61"/>
      <c r="B9" s="65"/>
      <c r="C9" s="64"/>
      <c r="D9" s="61"/>
      <c r="E9" s="61"/>
      <c r="F9" s="61"/>
      <c r="G9" s="61"/>
      <c r="H9" s="61"/>
      <c r="I9" s="61"/>
      <c r="J9" s="65"/>
      <c r="K9" s="64"/>
      <c r="L9" s="61"/>
      <c r="M9" s="61"/>
      <c r="N9" s="61"/>
      <c r="O9" s="61"/>
      <c r="P9" s="61"/>
      <c r="Q9" s="61"/>
    </row>
    <row r="10" spans="1:17">
      <c r="A10" s="61"/>
      <c r="B10" s="65"/>
      <c r="C10" s="64"/>
      <c r="D10" s="61"/>
      <c r="E10" s="61"/>
      <c r="F10" s="61"/>
      <c r="G10" s="61"/>
      <c r="H10" s="61"/>
      <c r="I10" s="61"/>
      <c r="J10" s="65"/>
      <c r="K10" s="64"/>
      <c r="L10" s="61"/>
      <c r="M10" s="61"/>
      <c r="N10" s="61"/>
      <c r="O10" s="61"/>
      <c r="P10" s="61"/>
      <c r="Q10" s="61"/>
    </row>
    <row r="11" spans="1:17">
      <c r="A11" s="61"/>
      <c r="B11" s="65"/>
      <c r="C11" s="64"/>
      <c r="D11" s="61"/>
      <c r="E11" s="61"/>
      <c r="F11" s="61"/>
      <c r="G11" s="61"/>
      <c r="H11" s="61"/>
      <c r="I11" s="61"/>
      <c r="J11" s="65"/>
      <c r="K11" s="64"/>
      <c r="L11" s="61"/>
      <c r="M11" s="61"/>
      <c r="N11" s="61"/>
      <c r="O11" s="61"/>
      <c r="P11" s="61"/>
      <c r="Q11" s="61"/>
    </row>
    <row r="12" spans="1:17">
      <c r="A12" s="61"/>
      <c r="B12" s="65"/>
      <c r="C12" s="64"/>
      <c r="D12" s="61"/>
      <c r="E12" s="61"/>
      <c r="F12" s="61"/>
      <c r="G12" s="61"/>
      <c r="H12" s="61"/>
      <c r="I12" s="61"/>
      <c r="J12" s="65"/>
      <c r="K12" s="64"/>
      <c r="L12" s="61"/>
      <c r="M12" s="61"/>
      <c r="N12" s="61"/>
      <c r="O12" s="61"/>
      <c r="P12" s="61"/>
      <c r="Q12" s="61"/>
    </row>
    <row r="13" spans="1:17">
      <c r="A13" s="61"/>
      <c r="B13" s="65"/>
      <c r="C13" s="64"/>
      <c r="D13" s="61"/>
      <c r="E13" s="61"/>
      <c r="F13" s="61"/>
      <c r="G13" s="61"/>
      <c r="H13" s="61"/>
      <c r="I13" s="61"/>
      <c r="J13" s="65"/>
      <c r="K13" s="64"/>
      <c r="L13" s="61"/>
      <c r="M13" s="61"/>
      <c r="N13" s="61"/>
      <c r="O13" s="61"/>
      <c r="P13" s="61"/>
      <c r="Q13" s="61"/>
    </row>
    <row r="14" spans="1:17">
      <c r="A14" s="61"/>
      <c r="B14" s="65"/>
      <c r="C14" s="64"/>
      <c r="D14" s="61"/>
      <c r="E14" s="61"/>
      <c r="F14" s="61"/>
      <c r="G14" s="61"/>
      <c r="H14" s="61"/>
      <c r="I14" s="61"/>
      <c r="J14" s="65"/>
      <c r="K14" s="64"/>
      <c r="L14" s="61"/>
      <c r="M14" s="61"/>
      <c r="N14" s="61"/>
      <c r="O14" s="61"/>
      <c r="P14" s="61"/>
      <c r="Q14" s="61"/>
    </row>
    <row r="15" spans="1:17">
      <c r="A15" s="61"/>
      <c r="B15" s="65"/>
      <c r="C15" s="64"/>
      <c r="D15" s="61"/>
      <c r="E15" s="61"/>
      <c r="F15" s="61"/>
      <c r="G15" s="61"/>
      <c r="H15" s="61"/>
      <c r="I15" s="61"/>
      <c r="J15" s="65"/>
      <c r="K15" s="64"/>
      <c r="L15" s="61"/>
      <c r="M15" s="61"/>
      <c r="N15" s="61"/>
      <c r="O15" s="61"/>
      <c r="P15" s="61"/>
      <c r="Q15" s="61"/>
    </row>
    <row r="16" spans="1:17">
      <c r="A16" s="61"/>
      <c r="B16" s="65"/>
      <c r="C16" s="64"/>
      <c r="D16" s="61"/>
      <c r="E16" s="61"/>
      <c r="F16" s="61"/>
      <c r="G16" s="61"/>
      <c r="H16" s="61"/>
      <c r="I16" s="61"/>
      <c r="J16" s="65"/>
      <c r="K16" s="64"/>
      <c r="L16" s="61"/>
      <c r="M16" s="61"/>
      <c r="N16" s="61"/>
      <c r="O16" s="61"/>
      <c r="P16" s="61"/>
      <c r="Q16" s="61"/>
    </row>
    <row r="17" spans="1:17">
      <c r="A17" s="61"/>
      <c r="B17" s="65"/>
      <c r="C17" s="64"/>
      <c r="D17" s="61"/>
      <c r="E17" s="61"/>
      <c r="F17" s="61"/>
      <c r="G17" s="61"/>
      <c r="H17" s="61"/>
      <c r="I17" s="61"/>
      <c r="J17" s="65"/>
      <c r="K17" s="64"/>
      <c r="L17" s="61"/>
      <c r="M17" s="61"/>
      <c r="N17" s="61"/>
      <c r="O17" s="61"/>
      <c r="P17" s="61"/>
      <c r="Q17" s="61"/>
    </row>
    <row r="18" spans="1:17">
      <c r="A18" s="61"/>
      <c r="B18" s="65"/>
      <c r="C18" s="64"/>
      <c r="D18" s="61"/>
      <c r="E18" s="61"/>
      <c r="F18" s="61"/>
      <c r="G18" s="61"/>
      <c r="H18" s="61"/>
      <c r="I18" s="61"/>
      <c r="J18" s="65"/>
      <c r="K18" s="64"/>
      <c r="L18" s="61"/>
      <c r="M18" s="61"/>
      <c r="N18" s="61"/>
      <c r="O18" s="61"/>
      <c r="P18" s="61"/>
      <c r="Q18" s="61"/>
    </row>
    <row r="19" spans="1:17">
      <c r="A19" s="61"/>
      <c r="B19" s="65"/>
      <c r="C19" s="64"/>
      <c r="D19" s="61"/>
      <c r="E19" s="61"/>
      <c r="F19" s="61"/>
      <c r="G19" s="61"/>
      <c r="H19" s="61"/>
      <c r="I19" s="61"/>
      <c r="J19" s="65"/>
      <c r="K19" s="64"/>
      <c r="L19" s="61"/>
      <c r="M19" s="61"/>
      <c r="N19" s="61"/>
      <c r="O19" s="61"/>
      <c r="P19" s="61"/>
      <c r="Q19" s="61"/>
    </row>
    <row r="20" spans="1:17">
      <c r="A20" s="61"/>
      <c r="B20" s="65"/>
      <c r="C20" s="64"/>
      <c r="D20" s="61"/>
      <c r="E20" s="61"/>
      <c r="F20" s="61"/>
      <c r="G20" s="61"/>
      <c r="H20" s="61"/>
      <c r="I20" s="61"/>
      <c r="J20" s="65"/>
      <c r="K20" s="64"/>
      <c r="L20" s="61"/>
      <c r="M20" s="61"/>
      <c r="N20" s="61"/>
      <c r="O20" s="61"/>
      <c r="P20" s="61"/>
      <c r="Q20" s="61"/>
    </row>
    <row r="21" spans="1:17">
      <c r="A21" s="61"/>
      <c r="B21" s="65"/>
      <c r="C21" s="64"/>
      <c r="D21" s="61"/>
      <c r="E21" s="61"/>
      <c r="F21" s="61"/>
      <c r="G21" s="61"/>
      <c r="H21" s="61"/>
      <c r="I21" s="61"/>
      <c r="J21" s="65"/>
      <c r="K21" s="64"/>
      <c r="L21" s="61"/>
      <c r="M21" s="61"/>
      <c r="N21" s="61"/>
      <c r="O21" s="61"/>
      <c r="P21" s="61"/>
      <c r="Q21" s="61"/>
    </row>
    <row r="22" spans="1:17">
      <c r="A22" s="61"/>
      <c r="B22" s="65"/>
      <c r="C22" s="64"/>
      <c r="D22" s="61"/>
      <c r="E22" s="61"/>
      <c r="F22" s="61"/>
      <c r="G22" s="61"/>
      <c r="H22" s="61"/>
      <c r="I22" s="61"/>
      <c r="J22" s="65"/>
      <c r="K22" s="64"/>
      <c r="L22" s="61"/>
      <c r="M22" s="61"/>
      <c r="N22" s="61"/>
      <c r="O22" s="61"/>
      <c r="P22" s="61"/>
      <c r="Q22" s="61"/>
    </row>
    <row r="23" spans="1:17">
      <c r="A23" s="61"/>
      <c r="B23" s="65"/>
      <c r="C23" s="64"/>
      <c r="D23" s="61"/>
      <c r="E23" s="61"/>
      <c r="F23" s="61"/>
      <c r="G23" s="61"/>
      <c r="H23" s="61"/>
      <c r="I23" s="61"/>
      <c r="J23" s="65"/>
      <c r="K23" s="64"/>
      <c r="L23" s="61"/>
      <c r="M23" s="61"/>
      <c r="N23" s="61"/>
      <c r="O23" s="61"/>
      <c r="P23" s="61"/>
      <c r="Q23" s="61"/>
    </row>
    <row r="24" spans="1:17">
      <c r="A24" s="61"/>
      <c r="B24" s="65"/>
      <c r="C24" s="64"/>
      <c r="D24" s="61"/>
      <c r="E24" s="61"/>
      <c r="F24" s="61"/>
      <c r="G24" s="61"/>
      <c r="H24" s="61"/>
      <c r="I24" s="61"/>
      <c r="J24" s="65"/>
      <c r="K24" s="64"/>
      <c r="L24" s="61"/>
      <c r="M24" s="61"/>
      <c r="N24" s="61"/>
      <c r="O24" s="61"/>
      <c r="P24" s="61"/>
      <c r="Q24" s="61"/>
    </row>
    <row r="25" spans="1:17">
      <c r="A25" s="61"/>
      <c r="B25" s="65"/>
      <c r="C25" s="64"/>
      <c r="D25" s="61"/>
      <c r="E25" s="61"/>
      <c r="F25" s="61"/>
      <c r="G25" s="61"/>
      <c r="H25" s="61"/>
      <c r="I25" s="61"/>
      <c r="J25" s="65"/>
      <c r="K25" s="64"/>
      <c r="L25" s="61"/>
      <c r="M25" s="61"/>
      <c r="N25" s="61"/>
      <c r="O25" s="61"/>
      <c r="P25" s="61"/>
      <c r="Q25" s="61"/>
    </row>
    <row r="26" spans="1:17">
      <c r="A26" s="61"/>
      <c r="B26" s="65"/>
      <c r="C26" s="64"/>
      <c r="D26" s="61"/>
      <c r="E26" s="61"/>
      <c r="F26" s="61"/>
      <c r="G26" s="61"/>
      <c r="H26" s="61"/>
      <c r="I26" s="61"/>
      <c r="J26" s="65"/>
      <c r="K26" s="64"/>
      <c r="L26" s="61"/>
      <c r="M26" s="61"/>
      <c r="N26" s="61"/>
      <c r="O26" s="61"/>
      <c r="P26" s="61"/>
      <c r="Q26" s="61"/>
    </row>
    <row r="27" spans="1:17">
      <c r="A27" s="61"/>
      <c r="B27" s="65"/>
      <c r="C27" s="64"/>
      <c r="D27" s="61"/>
      <c r="E27" s="61"/>
      <c r="F27" s="61"/>
      <c r="G27" s="61"/>
      <c r="H27" s="61"/>
      <c r="I27" s="61"/>
      <c r="J27" s="65"/>
      <c r="K27" s="64"/>
      <c r="L27" s="61"/>
      <c r="M27" s="61"/>
      <c r="N27" s="61"/>
      <c r="O27" s="61"/>
      <c r="P27" s="61"/>
      <c r="Q27" s="61"/>
    </row>
    <row r="28" spans="1:17">
      <c r="A28" s="61"/>
      <c r="B28" s="65"/>
      <c r="C28" s="64"/>
      <c r="D28" s="61"/>
      <c r="E28" s="61"/>
      <c r="F28" s="61"/>
      <c r="G28" s="61"/>
      <c r="H28" s="61"/>
      <c r="I28" s="61"/>
      <c r="J28" s="65"/>
      <c r="K28" s="64"/>
      <c r="L28" s="61"/>
      <c r="M28" s="61"/>
      <c r="N28" s="61"/>
      <c r="O28" s="61"/>
      <c r="P28" s="61"/>
      <c r="Q28" s="61"/>
    </row>
    <row r="29" spans="1:17">
      <c r="A29" s="61"/>
      <c r="B29" s="65"/>
      <c r="C29" s="64"/>
      <c r="D29" s="61"/>
      <c r="E29" s="61"/>
      <c r="F29" s="61"/>
      <c r="G29" s="61"/>
      <c r="H29" s="61"/>
      <c r="I29" s="61"/>
      <c r="J29" s="65"/>
      <c r="K29" s="64"/>
      <c r="L29" s="61"/>
      <c r="M29" s="61"/>
      <c r="N29" s="61"/>
      <c r="O29" s="61"/>
      <c r="P29" s="61"/>
      <c r="Q29" s="61"/>
    </row>
    <row r="30" spans="1:17">
      <c r="A30" s="61"/>
      <c r="B30" s="65"/>
      <c r="C30" s="64"/>
      <c r="D30" s="61"/>
      <c r="E30" s="61"/>
      <c r="F30" s="61"/>
      <c r="G30" s="61"/>
      <c r="H30" s="61"/>
      <c r="I30" s="61"/>
      <c r="J30" s="65"/>
      <c r="K30" s="64"/>
      <c r="L30" s="61"/>
      <c r="M30" s="61"/>
      <c r="N30" s="61"/>
      <c r="O30" s="61"/>
      <c r="P30" s="61"/>
      <c r="Q30" s="61"/>
    </row>
    <row r="31" spans="1:17">
      <c r="A31" s="61"/>
      <c r="B31" s="65"/>
      <c r="C31" s="64"/>
      <c r="D31" s="61"/>
      <c r="E31" s="61"/>
      <c r="F31" s="61"/>
      <c r="G31" s="61"/>
      <c r="H31" s="61"/>
      <c r="I31" s="61"/>
      <c r="J31" s="65"/>
      <c r="K31" s="64"/>
      <c r="L31" s="61"/>
      <c r="M31" s="61"/>
      <c r="N31" s="61"/>
      <c r="O31" s="61"/>
      <c r="P31" s="61"/>
      <c r="Q31" s="61"/>
    </row>
    <row r="32" spans="1:17">
      <c r="A32" s="61"/>
      <c r="B32" s="65"/>
      <c r="C32" s="64"/>
      <c r="D32" s="61"/>
      <c r="E32" s="61"/>
      <c r="F32" s="61"/>
      <c r="G32" s="61"/>
      <c r="H32" s="61"/>
      <c r="I32" s="61"/>
      <c r="J32" s="65"/>
      <c r="K32" s="64"/>
      <c r="L32" s="61"/>
      <c r="M32" s="61"/>
      <c r="N32" s="61"/>
      <c r="O32" s="61"/>
      <c r="P32" s="61"/>
      <c r="Q32" s="61"/>
    </row>
    <row r="33" spans="1:17">
      <c r="A33" s="61"/>
      <c r="B33" s="65"/>
      <c r="C33" s="64"/>
      <c r="D33" s="61"/>
      <c r="E33" s="61"/>
      <c r="F33" s="61"/>
      <c r="G33" s="61"/>
      <c r="H33" s="61"/>
      <c r="I33" s="61"/>
      <c r="J33" s="65"/>
      <c r="K33" s="64"/>
      <c r="L33" s="61"/>
      <c r="M33" s="61"/>
      <c r="N33" s="61"/>
      <c r="O33" s="61"/>
      <c r="P33" s="61"/>
      <c r="Q33" s="61"/>
    </row>
    <row r="34" spans="1:17">
      <c r="A34" s="61"/>
      <c r="B34" s="65"/>
      <c r="C34" s="64"/>
      <c r="D34" s="61"/>
      <c r="E34" s="61"/>
      <c r="F34" s="61"/>
      <c r="G34" s="61"/>
      <c r="H34" s="61"/>
      <c r="I34" s="61"/>
      <c r="J34" s="65"/>
      <c r="K34" s="64"/>
      <c r="L34" s="61"/>
      <c r="M34" s="61"/>
      <c r="N34" s="61"/>
      <c r="O34" s="61"/>
      <c r="P34" s="61"/>
      <c r="Q34" s="61"/>
    </row>
    <row r="35" spans="1:17">
      <c r="A35" s="61"/>
      <c r="B35" s="65"/>
      <c r="C35" s="64"/>
      <c r="D35" s="61"/>
      <c r="E35" s="61"/>
      <c r="F35" s="61"/>
      <c r="G35" s="61"/>
      <c r="H35" s="61"/>
      <c r="I35" s="61"/>
      <c r="J35" s="65"/>
      <c r="K35" s="64"/>
      <c r="L35" s="61"/>
      <c r="M35" s="61"/>
      <c r="N35" s="61"/>
      <c r="O35" s="61"/>
      <c r="P35" s="61"/>
      <c r="Q35" s="61"/>
    </row>
    <row r="36" spans="1:17">
      <c r="A36" s="61"/>
      <c r="B36" s="65"/>
      <c r="C36" s="64"/>
      <c r="D36" s="61"/>
      <c r="E36" s="61"/>
      <c r="F36" s="61"/>
      <c r="G36" s="61"/>
      <c r="H36" s="61"/>
      <c r="I36" s="61"/>
      <c r="J36" s="65"/>
      <c r="K36" s="64"/>
      <c r="L36" s="61"/>
      <c r="M36" s="61"/>
      <c r="N36" s="61"/>
      <c r="O36" s="61"/>
      <c r="P36" s="61"/>
      <c r="Q36" s="61"/>
    </row>
    <row r="37" spans="1:17">
      <c r="A37" s="61"/>
      <c r="B37" s="65"/>
      <c r="C37" s="64"/>
      <c r="D37" s="61"/>
      <c r="E37" s="61"/>
      <c r="F37" s="61"/>
      <c r="G37" s="61"/>
      <c r="H37" s="61"/>
      <c r="I37" s="61"/>
      <c r="J37" s="65"/>
      <c r="K37" s="64"/>
      <c r="L37" s="61"/>
      <c r="M37" s="61"/>
      <c r="N37" s="61"/>
      <c r="O37" s="61"/>
      <c r="P37" s="61"/>
      <c r="Q37" s="61"/>
    </row>
    <row r="38" spans="1:17">
      <c r="A38" s="61"/>
      <c r="B38" s="61"/>
      <c r="C38" s="62"/>
      <c r="D38" s="61"/>
      <c r="E38" s="61"/>
      <c r="F38" s="61"/>
      <c r="G38" s="61"/>
      <c r="H38" s="61"/>
      <c r="I38" s="61"/>
      <c r="J38" s="61"/>
      <c r="K38" s="62"/>
      <c r="L38" s="61"/>
      <c r="M38" s="61"/>
      <c r="N38" s="61"/>
      <c r="O38" s="61"/>
      <c r="P38" s="61"/>
      <c r="Q38" s="61"/>
    </row>
    <row r="39" spans="1:17">
      <c r="A39" s="61"/>
      <c r="B39" s="61"/>
      <c r="C39" s="61"/>
      <c r="D39" s="61"/>
      <c r="E39" s="61"/>
      <c r="F39" s="61"/>
      <c r="G39" s="61"/>
      <c r="H39" s="61"/>
      <c r="I39" s="61"/>
      <c r="J39" s="61"/>
      <c r="K39" s="61"/>
      <c r="L39" s="61"/>
      <c r="M39" s="61"/>
      <c r="N39" s="61"/>
      <c r="O39" s="61"/>
      <c r="P39" s="61"/>
      <c r="Q39" s="61"/>
    </row>
    <row r="40" spans="1:17">
      <c r="A40" s="61"/>
      <c r="B40" s="61"/>
      <c r="C40" s="61"/>
      <c r="D40" s="61"/>
      <c r="E40" s="61"/>
      <c r="F40" s="61"/>
      <c r="G40" s="61"/>
      <c r="H40" s="61"/>
      <c r="I40" s="61"/>
      <c r="J40" s="61"/>
      <c r="K40" s="61"/>
      <c r="L40" s="61"/>
      <c r="M40" s="61"/>
      <c r="N40" s="61"/>
      <c r="O40" s="61"/>
      <c r="P40" s="61"/>
      <c r="Q40" s="61"/>
    </row>
    <row r="41" spans="1:17">
      <c r="A41" s="61"/>
      <c r="B41" s="61"/>
      <c r="C41" s="61"/>
      <c r="D41" s="61"/>
      <c r="E41" s="61"/>
      <c r="F41" s="61"/>
      <c r="G41" s="61"/>
      <c r="H41" s="61"/>
      <c r="I41" s="61"/>
      <c r="J41" s="61"/>
      <c r="K41" s="61"/>
      <c r="L41" s="61"/>
      <c r="M41" s="61"/>
      <c r="N41" s="61"/>
      <c r="O41" s="61"/>
      <c r="P41" s="61"/>
      <c r="Q41" s="61"/>
    </row>
    <row r="42" spans="1:17">
      <c r="A42" s="61"/>
      <c r="B42" s="61"/>
      <c r="C42" s="61"/>
      <c r="D42" s="61"/>
      <c r="E42" s="61"/>
      <c r="F42" s="61"/>
      <c r="G42" s="61"/>
      <c r="H42" s="61"/>
      <c r="I42" s="61"/>
      <c r="J42" s="61"/>
      <c r="K42" s="61"/>
      <c r="L42" s="61"/>
      <c r="M42" s="61"/>
      <c r="N42" s="61"/>
      <c r="O42" s="61"/>
      <c r="P42" s="61"/>
      <c r="Q42" s="61"/>
    </row>
  </sheetData>
  <phoneticPr fontId="26"/>
  <printOptions horizontalCentered="1" gridLinesSet="0"/>
  <pageMargins left="0" right="0" top="0.59055118110236227" bottom="0.39370078740157483" header="0.31496062992125984" footer="0.19685039370078741"/>
  <pageSetup paperSize="9" scale="50" fitToHeight="0" pageOrder="overThenDown" orientation="landscape" r:id="rId1"/>
  <headerFooter alignWithMargins="0">
    <oddHeader>&amp;C&amp;"ＭＳ ゴシック,太字"&amp;16障害件数表&amp;R&amp;10&amp;D</oddHeader>
    <oddFooter>&amp;L&amp;10&amp;F&amp;C&amp;10&amp;P/&amp;N&amp;R&amp;10&amp;A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Line="0" autoPict="0" macro="[0]!ToEntry">
                <anchor moveWithCells="1" sizeWithCells="1">
                  <from>
                    <xdr:col>0</xdr:col>
                    <xdr:colOff>123825</xdr:colOff>
                    <xdr:row>0</xdr:row>
                    <xdr:rowOff>95250</xdr:rowOff>
                  </from>
                  <to>
                    <xdr:col>2</xdr:col>
                    <xdr:colOff>314325</xdr:colOff>
                    <xdr:row>0</xdr:row>
                    <xdr:rowOff>504825</xdr:rowOff>
                  </to>
                </anchor>
              </controlPr>
            </control>
          </mc:Choice>
        </mc:AlternateContent>
        <mc:AlternateContent xmlns:mc="http://schemas.openxmlformats.org/markup-compatibility/2006">
          <mc:Choice Requires="x14">
            <control shapeId="2052" r:id="rId5" name="Button 4">
              <controlPr defaultSize="0" print="0" autoFill="0" autoLine="0" autoPict="0" macro="[0]!ToGraph">
                <anchor moveWithCells="1" sizeWithCells="1">
                  <from>
                    <xdr:col>2</xdr:col>
                    <xdr:colOff>323850</xdr:colOff>
                    <xdr:row>0</xdr:row>
                    <xdr:rowOff>95250</xdr:rowOff>
                  </from>
                  <to>
                    <xdr:col>3</xdr:col>
                    <xdr:colOff>533400</xdr:colOff>
                    <xdr:row>0</xdr:row>
                    <xdr:rowOff>504825</xdr:rowOff>
                  </to>
                </anchor>
              </controlPr>
            </control>
          </mc:Choice>
        </mc:AlternateContent>
        <mc:AlternateContent xmlns:mc="http://schemas.openxmlformats.org/markup-compatibility/2006">
          <mc:Choice Requires="x14">
            <control shapeId="2053" r:id="rId6" name="Button 5">
              <controlPr defaultSize="0" print="0" autoFill="0" autoLine="0" autoPict="0" macro="[0]!ToGwork2">
                <anchor moveWithCells="1" sizeWithCells="1">
                  <from>
                    <xdr:col>4</xdr:col>
                    <xdr:colOff>428625</xdr:colOff>
                    <xdr:row>0</xdr:row>
                    <xdr:rowOff>95250</xdr:rowOff>
                  </from>
                  <to>
                    <xdr:col>5</xdr:col>
                    <xdr:colOff>304800</xdr:colOff>
                    <xdr:row>0</xdr:row>
                    <xdr:rowOff>504825</xdr:rowOff>
                  </to>
                </anchor>
              </controlPr>
            </control>
          </mc:Choice>
        </mc:AlternateContent>
        <mc:AlternateContent xmlns:mc="http://schemas.openxmlformats.org/markup-compatibility/2006">
          <mc:Choice Requires="x14">
            <control shapeId="2054" r:id="rId7" name="Button 6">
              <controlPr defaultSize="0" print="0" autoFill="0" autoLine="0" autoPict="0" macro="[0]!ToGraph2">
                <anchor moveWithCells="1">
                  <from>
                    <xdr:col>3</xdr:col>
                    <xdr:colOff>542925</xdr:colOff>
                    <xdr:row>0</xdr:row>
                    <xdr:rowOff>95250</xdr:rowOff>
                  </from>
                  <to>
                    <xdr:col>4</xdr:col>
                    <xdr:colOff>419100</xdr:colOff>
                    <xdr:row>0</xdr:row>
                    <xdr:rowOff>504825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
  <sheetViews>
    <sheetView showGridLines="0" workbookViewId="0">
      <pane ySplit="3" topLeftCell="A4" activePane="bottomLeft" state="frozen"/>
      <selection activeCell="C4" sqref="C4"/>
      <selection pane="bottomLeft" activeCell="E6" sqref="E6"/>
    </sheetView>
  </sheetViews>
  <sheetFormatPr defaultRowHeight="14.25"/>
  <cols>
    <col min="1" max="1" width="3.625" customWidth="1"/>
  </cols>
  <sheetData/>
  <phoneticPr fontId="26"/>
  <printOptions gridLinesSet="0"/>
  <pageMargins left="0.78740157480314965" right="0" top="0.59055118110236227" bottom="0.59055118110236227" header="0.31496062992125984" footer="0.31496062992125984"/>
  <pageSetup paperSize="9" scale="66" fitToHeight="0" pageOrder="overThenDown" orientation="portrait" r:id="rId1"/>
  <headerFooter alignWithMargins="0">
    <oddHeader>&amp;C&amp;"ＭＳ ゴシック,太字"&amp;16障害件数累積グラフ&amp;R&amp;10&amp;D</oddHeader>
    <oddFooter>&amp;L&amp;10&amp;F&amp;C&amp;10&amp;P/&amp;N&amp;R&amp;10&amp;A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Line="0" autoPict="0" macro="[0]!ToEntry">
                <anchor moveWithCells="1" sizeWithCells="1">
                  <from>
                    <xdr:col>0</xdr:col>
                    <xdr:colOff>133350</xdr:colOff>
                    <xdr:row>0</xdr:row>
                    <xdr:rowOff>95250</xdr:rowOff>
                  </from>
                  <to>
                    <xdr:col>1</xdr:col>
                    <xdr:colOff>638175</xdr:colOff>
                    <xdr:row>2</xdr:row>
                    <xdr:rowOff>142875</xdr:rowOff>
                  </to>
                </anchor>
              </controlPr>
            </control>
          </mc:Choice>
        </mc:AlternateContent>
        <mc:AlternateContent xmlns:mc="http://schemas.openxmlformats.org/markup-compatibility/2006">
          <mc:Choice Requires="x14">
            <control shapeId="3077" r:id="rId5" name="Button 5">
              <controlPr defaultSize="0" print="0" autoFill="0" autoLine="0" autoPict="0" macro="[0]!ToGwork2">
                <anchor moveWithCells="1" sizeWithCells="1">
                  <from>
                    <xdr:col>3</xdr:col>
                    <xdr:colOff>419100</xdr:colOff>
                    <xdr:row>0</xdr:row>
                    <xdr:rowOff>95250</xdr:rowOff>
                  </from>
                  <to>
                    <xdr:col>4</xdr:col>
                    <xdr:colOff>295275</xdr:colOff>
                    <xdr:row>2</xdr:row>
                    <xdr:rowOff>142875</xdr:rowOff>
                  </to>
                </anchor>
              </controlPr>
            </control>
          </mc:Choice>
        </mc:AlternateContent>
        <mc:AlternateContent xmlns:mc="http://schemas.openxmlformats.org/markup-compatibility/2006">
          <mc:Choice Requires="x14">
            <control shapeId="3078" r:id="rId6" name="Button 6">
              <controlPr defaultSize="0" print="0" autoFill="0" autoLine="0" autoPict="0" macro="[0]!ToGraph2">
                <anchor moveWithCells="1" sizeWithCells="1">
                  <from>
                    <xdr:col>2</xdr:col>
                    <xdr:colOff>533400</xdr:colOff>
                    <xdr:row>0</xdr:row>
                    <xdr:rowOff>95250</xdr:rowOff>
                  </from>
                  <to>
                    <xdr:col>3</xdr:col>
                    <xdr:colOff>409575</xdr:colOff>
                    <xdr:row>2</xdr:row>
                    <xdr:rowOff>142875</xdr:rowOff>
                  </to>
                </anchor>
              </controlPr>
            </control>
          </mc:Choice>
        </mc:AlternateContent>
        <mc:AlternateContent xmlns:mc="http://schemas.openxmlformats.org/markup-compatibility/2006">
          <mc:Choice Requires="x14">
            <control shapeId="3079" r:id="rId7" name="Button 7">
              <controlPr defaultSize="0" print="0" autoFill="0" autoLine="0" autoPict="0" macro="[0]!ToSummary">
                <anchor moveWithCells="1" sizeWithCells="1">
                  <from>
                    <xdr:col>1</xdr:col>
                    <xdr:colOff>647700</xdr:colOff>
                    <xdr:row>0</xdr:row>
                    <xdr:rowOff>95250</xdr:rowOff>
                  </from>
                  <to>
                    <xdr:col>2</xdr:col>
                    <xdr:colOff>523875</xdr:colOff>
                    <xdr:row>2</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H67"/>
  <sheetViews>
    <sheetView showGridLines="0" topLeftCell="T1" workbookViewId="0">
      <selection activeCell="C4" sqref="C4"/>
    </sheetView>
  </sheetViews>
  <sheetFormatPr defaultRowHeight="14.25"/>
  <cols>
    <col min="1" max="1" width="10.125" style="66" customWidth="1"/>
    <col min="2" max="2" width="12.75" customWidth="1"/>
    <col min="3" max="3" width="11.5" customWidth="1"/>
    <col min="4" max="4" width="5.5" customWidth="1"/>
    <col min="5" max="5" width="18.125" customWidth="1"/>
    <col min="6" max="6" width="9" style="66"/>
    <col min="7" max="7" width="12.75" customWidth="1"/>
    <col min="8" max="8" width="5.5" customWidth="1"/>
    <col min="9" max="9" width="9.5" customWidth="1"/>
    <col min="11" max="11" width="11.625" customWidth="1"/>
    <col min="17" max="19" width="9" style="68"/>
    <col min="20" max="20" width="11.625" style="68" bestFit="1" customWidth="1"/>
    <col min="54" max="54" width="12.75" bestFit="1" customWidth="1"/>
    <col min="55" max="55" width="5.5" customWidth="1"/>
    <col min="59" max="59" width="12.75" bestFit="1" customWidth="1"/>
    <col min="60" max="60" width="5.5" customWidth="1"/>
  </cols>
  <sheetData>
    <row r="1" spans="1:60">
      <c r="B1" t="s">
        <v>3</v>
      </c>
      <c r="G1" t="s">
        <v>3</v>
      </c>
      <c r="K1" t="s">
        <v>4</v>
      </c>
      <c r="O1" s="67" t="s">
        <v>5</v>
      </c>
      <c r="P1" s="67" t="s">
        <v>6</v>
      </c>
      <c r="Q1" s="68" t="s">
        <v>7</v>
      </c>
      <c r="R1" s="68" t="s">
        <v>8</v>
      </c>
      <c r="S1" s="69"/>
      <c r="T1" s="70"/>
      <c r="BB1" s="71" t="s">
        <v>3</v>
      </c>
      <c r="BC1" s="72"/>
      <c r="BG1" s="71" t="s">
        <v>3</v>
      </c>
      <c r="BH1" s="72"/>
    </row>
    <row r="2" spans="1:60">
      <c r="A2" s="66" t="s">
        <v>155</v>
      </c>
      <c r="B2" t="s">
        <v>156</v>
      </c>
      <c r="C2" t="s">
        <v>157</v>
      </c>
      <c r="F2" s="66" t="s">
        <v>155</v>
      </c>
      <c r="G2" t="s">
        <v>156</v>
      </c>
      <c r="H2" t="s">
        <v>158</v>
      </c>
      <c r="K2" s="73">
        <v>38687</v>
      </c>
      <c r="Q2" s="68">
        <v>1</v>
      </c>
      <c r="R2" s="68">
        <v>2006</v>
      </c>
      <c r="S2" s="69"/>
      <c r="T2" s="70"/>
      <c r="BB2" s="71" t="s">
        <v>9</v>
      </c>
      <c r="BC2" s="72" t="s">
        <v>10</v>
      </c>
      <c r="BG2" s="71" t="s">
        <v>1</v>
      </c>
      <c r="BH2" s="72" t="s">
        <v>10</v>
      </c>
    </row>
    <row r="3" spans="1:60">
      <c r="A3" s="66">
        <v>38697</v>
      </c>
      <c r="B3">
        <v>38697</v>
      </c>
      <c r="C3">
        <v>3</v>
      </c>
      <c r="F3" s="66">
        <v>38701</v>
      </c>
      <c r="G3">
        <v>38701</v>
      </c>
      <c r="H3">
        <v>1</v>
      </c>
      <c r="K3" s="73">
        <v>38688</v>
      </c>
      <c r="S3" s="69" t="s">
        <v>4</v>
      </c>
      <c r="T3" s="70" t="s">
        <v>11</v>
      </c>
      <c r="U3" t="s">
        <v>12</v>
      </c>
      <c r="V3" t="s">
        <v>5</v>
      </c>
      <c r="W3" t="s">
        <v>159</v>
      </c>
      <c r="X3" t="s">
        <v>160</v>
      </c>
      <c r="Y3" t="s">
        <v>161</v>
      </c>
      <c r="Z3" t="s">
        <v>162</v>
      </c>
      <c r="AA3" t="s">
        <v>163</v>
      </c>
      <c r="BB3" s="74">
        <v>38697</v>
      </c>
      <c r="BC3" s="75">
        <v>3</v>
      </c>
      <c r="BG3" s="76">
        <v>38701</v>
      </c>
      <c r="BH3" s="75">
        <v>1</v>
      </c>
    </row>
    <row r="4" spans="1:60">
      <c r="A4" s="66">
        <v>38707</v>
      </c>
      <c r="B4">
        <v>38707</v>
      </c>
      <c r="C4">
        <v>3</v>
      </c>
      <c r="F4" s="66">
        <v>38712</v>
      </c>
      <c r="G4">
        <v>38712</v>
      </c>
      <c r="H4">
        <v>3</v>
      </c>
      <c r="K4" s="73">
        <v>38689</v>
      </c>
      <c r="S4" s="69">
        <v>38687</v>
      </c>
      <c r="T4" s="70">
        <f t="shared" ref="T4:T35" si="0" xml:space="preserve"> WEEKDAY(S4)</f>
        <v>5</v>
      </c>
      <c r="W4">
        <f>U4-V4</f>
        <v>0</v>
      </c>
      <c r="X4">
        <f t="shared" ref="X4:X35" si="1" xml:space="preserve"> MONTH(S4)</f>
        <v>12</v>
      </c>
      <c r="Y4">
        <f t="shared" ref="Y4:Y35" si="2" xml:space="preserve"> YEAR(S4)</f>
        <v>2005</v>
      </c>
      <c r="Z4">
        <f xml:space="preserve"> U4</f>
        <v>0</v>
      </c>
      <c r="AA4">
        <f xml:space="preserve"> V4</f>
        <v>0</v>
      </c>
      <c r="BB4" s="77">
        <v>38707</v>
      </c>
      <c r="BC4" s="78">
        <v>3</v>
      </c>
      <c r="BG4" s="79">
        <v>38712</v>
      </c>
      <c r="BH4" s="78">
        <v>3</v>
      </c>
    </row>
    <row r="5" spans="1:60">
      <c r="A5" s="66">
        <v>38711</v>
      </c>
      <c r="B5">
        <v>38711</v>
      </c>
      <c r="C5">
        <v>5</v>
      </c>
      <c r="F5" s="66" t="s">
        <v>13</v>
      </c>
      <c r="G5" t="s">
        <v>13</v>
      </c>
      <c r="H5">
        <v>7</v>
      </c>
      <c r="K5" s="73">
        <v>38690</v>
      </c>
      <c r="S5" s="69">
        <v>38688</v>
      </c>
      <c r="T5" s="70">
        <f t="shared" si="0"/>
        <v>6</v>
      </c>
      <c r="W5">
        <f t="shared" ref="W5:W36" si="3">W4+U5-V5</f>
        <v>0</v>
      </c>
      <c r="X5">
        <f t="shared" si="1"/>
        <v>12</v>
      </c>
      <c r="Y5">
        <f t="shared" si="2"/>
        <v>2005</v>
      </c>
      <c r="Z5">
        <f t="shared" ref="Z5:Z36" si="4">Z4+U5</f>
        <v>0</v>
      </c>
      <c r="AA5">
        <f t="shared" ref="AA5:AA36" si="5">AA4+V5</f>
        <v>0</v>
      </c>
      <c r="BB5" s="77">
        <v>38711</v>
      </c>
      <c r="BC5" s="78">
        <v>5</v>
      </c>
      <c r="BG5" s="80" t="s">
        <v>13</v>
      </c>
      <c r="BH5" s="78">
        <v>7</v>
      </c>
    </row>
    <row r="6" spans="1:60">
      <c r="A6" s="66" t="s">
        <v>14</v>
      </c>
      <c r="B6" t="s">
        <v>14</v>
      </c>
      <c r="C6">
        <v>11</v>
      </c>
      <c r="F6" s="66" t="s">
        <v>14</v>
      </c>
      <c r="G6" t="s">
        <v>14</v>
      </c>
      <c r="H6">
        <v>11</v>
      </c>
      <c r="K6" s="73">
        <v>38691</v>
      </c>
      <c r="S6" s="69">
        <v>38689</v>
      </c>
      <c r="T6" s="70">
        <f t="shared" si="0"/>
        <v>7</v>
      </c>
      <c r="W6">
        <f t="shared" si="3"/>
        <v>0</v>
      </c>
      <c r="X6">
        <f t="shared" si="1"/>
        <v>12</v>
      </c>
      <c r="Y6">
        <f t="shared" si="2"/>
        <v>2005</v>
      </c>
      <c r="Z6">
        <f t="shared" si="4"/>
        <v>0</v>
      </c>
      <c r="AA6">
        <f t="shared" si="5"/>
        <v>0</v>
      </c>
      <c r="BB6" s="81" t="s">
        <v>14</v>
      </c>
      <c r="BC6" s="82">
        <v>11</v>
      </c>
      <c r="BG6" s="83" t="s">
        <v>14</v>
      </c>
      <c r="BH6" s="82">
        <v>11</v>
      </c>
    </row>
    <row r="7" spans="1:60">
      <c r="K7" s="73">
        <v>38692</v>
      </c>
      <c r="S7" s="69">
        <v>38690</v>
      </c>
      <c r="T7" s="70">
        <f t="shared" si="0"/>
        <v>1</v>
      </c>
      <c r="W7">
        <f t="shared" si="3"/>
        <v>0</v>
      </c>
      <c r="X7">
        <f t="shared" si="1"/>
        <v>12</v>
      </c>
      <c r="Y7">
        <f t="shared" si="2"/>
        <v>2005</v>
      </c>
      <c r="Z7">
        <f t="shared" si="4"/>
        <v>0</v>
      </c>
      <c r="AA7">
        <f t="shared" si="5"/>
        <v>0</v>
      </c>
    </row>
    <row r="8" spans="1:60">
      <c r="K8" s="73">
        <v>38693</v>
      </c>
      <c r="S8" s="69">
        <v>38691</v>
      </c>
      <c r="T8" s="70">
        <f t="shared" si="0"/>
        <v>2</v>
      </c>
      <c r="W8">
        <f t="shared" si="3"/>
        <v>0</v>
      </c>
      <c r="X8">
        <f t="shared" si="1"/>
        <v>12</v>
      </c>
      <c r="Y8">
        <f t="shared" si="2"/>
        <v>2005</v>
      </c>
      <c r="Z8">
        <f t="shared" si="4"/>
        <v>0</v>
      </c>
      <c r="AA8">
        <f t="shared" si="5"/>
        <v>0</v>
      </c>
    </row>
    <row r="9" spans="1:60">
      <c r="K9" s="73">
        <v>38694</v>
      </c>
      <c r="S9" s="69">
        <v>38692</v>
      </c>
      <c r="T9" s="70">
        <f t="shared" si="0"/>
        <v>3</v>
      </c>
      <c r="W9">
        <f t="shared" si="3"/>
        <v>0</v>
      </c>
      <c r="X9">
        <f t="shared" si="1"/>
        <v>12</v>
      </c>
      <c r="Y9">
        <f t="shared" si="2"/>
        <v>2005</v>
      </c>
      <c r="Z9">
        <f t="shared" si="4"/>
        <v>0</v>
      </c>
      <c r="AA9">
        <f t="shared" si="5"/>
        <v>0</v>
      </c>
    </row>
    <row r="10" spans="1:60">
      <c r="K10" s="73">
        <v>38695</v>
      </c>
      <c r="S10" s="69">
        <v>38693</v>
      </c>
      <c r="T10" s="70">
        <f t="shared" si="0"/>
        <v>4</v>
      </c>
      <c r="W10">
        <f t="shared" si="3"/>
        <v>0</v>
      </c>
      <c r="X10">
        <f t="shared" si="1"/>
        <v>12</v>
      </c>
      <c r="Y10">
        <f t="shared" si="2"/>
        <v>2005</v>
      </c>
      <c r="Z10">
        <f t="shared" si="4"/>
        <v>0</v>
      </c>
      <c r="AA10">
        <f t="shared" si="5"/>
        <v>0</v>
      </c>
    </row>
    <row r="11" spans="1:60">
      <c r="K11" s="73">
        <v>38696</v>
      </c>
      <c r="S11" s="69">
        <v>38694</v>
      </c>
      <c r="T11" s="70">
        <f t="shared" si="0"/>
        <v>5</v>
      </c>
      <c r="W11">
        <f t="shared" si="3"/>
        <v>0</v>
      </c>
      <c r="X11">
        <f t="shared" si="1"/>
        <v>12</v>
      </c>
      <c r="Y11">
        <f t="shared" si="2"/>
        <v>2005</v>
      </c>
      <c r="Z11">
        <f t="shared" si="4"/>
        <v>0</v>
      </c>
      <c r="AA11">
        <f t="shared" si="5"/>
        <v>0</v>
      </c>
    </row>
    <row r="12" spans="1:60">
      <c r="K12" s="73">
        <v>38697</v>
      </c>
      <c r="S12" s="69">
        <v>38695</v>
      </c>
      <c r="T12" s="70">
        <f t="shared" si="0"/>
        <v>6</v>
      </c>
      <c r="W12">
        <f t="shared" si="3"/>
        <v>0</v>
      </c>
      <c r="X12">
        <f t="shared" si="1"/>
        <v>12</v>
      </c>
      <c r="Y12">
        <f t="shared" si="2"/>
        <v>2005</v>
      </c>
      <c r="Z12">
        <f t="shared" si="4"/>
        <v>0</v>
      </c>
      <c r="AA12">
        <f t="shared" si="5"/>
        <v>0</v>
      </c>
    </row>
    <row r="13" spans="1:60">
      <c r="K13" s="73">
        <v>38698</v>
      </c>
      <c r="S13" s="69">
        <v>38696</v>
      </c>
      <c r="T13" s="70">
        <f t="shared" si="0"/>
        <v>7</v>
      </c>
      <c r="W13">
        <f t="shared" si="3"/>
        <v>0</v>
      </c>
      <c r="X13">
        <f t="shared" si="1"/>
        <v>12</v>
      </c>
      <c r="Y13">
        <f t="shared" si="2"/>
        <v>2005</v>
      </c>
      <c r="Z13">
        <f t="shared" si="4"/>
        <v>0</v>
      </c>
      <c r="AA13">
        <f t="shared" si="5"/>
        <v>0</v>
      </c>
    </row>
    <row r="14" spans="1:60">
      <c r="K14" s="73">
        <v>38699</v>
      </c>
      <c r="S14" s="69">
        <v>38697</v>
      </c>
      <c r="T14" s="70">
        <f t="shared" si="0"/>
        <v>1</v>
      </c>
      <c r="U14">
        <v>3</v>
      </c>
      <c r="W14">
        <f t="shared" si="3"/>
        <v>3</v>
      </c>
      <c r="X14">
        <f t="shared" si="1"/>
        <v>12</v>
      </c>
      <c r="Y14">
        <f t="shared" si="2"/>
        <v>2005</v>
      </c>
      <c r="Z14">
        <f t="shared" si="4"/>
        <v>3</v>
      </c>
      <c r="AA14">
        <f t="shared" si="5"/>
        <v>0</v>
      </c>
    </row>
    <row r="15" spans="1:60">
      <c r="K15" s="73">
        <v>38700</v>
      </c>
      <c r="S15" s="69">
        <v>38698</v>
      </c>
      <c r="T15" s="70">
        <f t="shared" si="0"/>
        <v>2</v>
      </c>
      <c r="W15">
        <f t="shared" si="3"/>
        <v>3</v>
      </c>
      <c r="X15">
        <f t="shared" si="1"/>
        <v>12</v>
      </c>
      <c r="Y15">
        <f t="shared" si="2"/>
        <v>2005</v>
      </c>
      <c r="Z15">
        <f t="shared" si="4"/>
        <v>3</v>
      </c>
      <c r="AA15">
        <f t="shared" si="5"/>
        <v>0</v>
      </c>
    </row>
    <row r="16" spans="1:60">
      <c r="K16" s="73">
        <v>38701</v>
      </c>
      <c r="S16" s="69">
        <v>38699</v>
      </c>
      <c r="T16" s="70">
        <f t="shared" si="0"/>
        <v>3</v>
      </c>
      <c r="W16">
        <f t="shared" si="3"/>
        <v>3</v>
      </c>
      <c r="X16">
        <f t="shared" si="1"/>
        <v>12</v>
      </c>
      <c r="Y16">
        <f t="shared" si="2"/>
        <v>2005</v>
      </c>
      <c r="Z16">
        <f t="shared" si="4"/>
        <v>3</v>
      </c>
      <c r="AA16">
        <f t="shared" si="5"/>
        <v>0</v>
      </c>
    </row>
    <row r="17" spans="11:27">
      <c r="K17" s="73">
        <v>38702</v>
      </c>
      <c r="S17" s="69">
        <v>38700</v>
      </c>
      <c r="T17" s="70">
        <f t="shared" si="0"/>
        <v>4</v>
      </c>
      <c r="W17">
        <f t="shared" si="3"/>
        <v>3</v>
      </c>
      <c r="X17">
        <f t="shared" si="1"/>
        <v>12</v>
      </c>
      <c r="Y17">
        <f t="shared" si="2"/>
        <v>2005</v>
      </c>
      <c r="Z17">
        <f t="shared" si="4"/>
        <v>3</v>
      </c>
      <c r="AA17">
        <f t="shared" si="5"/>
        <v>0</v>
      </c>
    </row>
    <row r="18" spans="11:27">
      <c r="K18" s="73">
        <v>38703</v>
      </c>
      <c r="S18" s="69">
        <v>38701</v>
      </c>
      <c r="T18" s="70">
        <f t="shared" si="0"/>
        <v>5</v>
      </c>
      <c r="V18">
        <v>1</v>
      </c>
      <c r="W18">
        <f t="shared" si="3"/>
        <v>2</v>
      </c>
      <c r="X18">
        <f t="shared" si="1"/>
        <v>12</v>
      </c>
      <c r="Y18">
        <f t="shared" si="2"/>
        <v>2005</v>
      </c>
      <c r="Z18">
        <f t="shared" si="4"/>
        <v>3</v>
      </c>
      <c r="AA18">
        <f t="shared" si="5"/>
        <v>1</v>
      </c>
    </row>
    <row r="19" spans="11:27">
      <c r="K19" s="73">
        <v>38704</v>
      </c>
      <c r="S19" s="69">
        <v>38702</v>
      </c>
      <c r="T19" s="70">
        <f t="shared" si="0"/>
        <v>6</v>
      </c>
      <c r="W19">
        <f t="shared" si="3"/>
        <v>2</v>
      </c>
      <c r="X19">
        <f t="shared" si="1"/>
        <v>12</v>
      </c>
      <c r="Y19">
        <f t="shared" si="2"/>
        <v>2005</v>
      </c>
      <c r="Z19">
        <f t="shared" si="4"/>
        <v>3</v>
      </c>
      <c r="AA19">
        <f t="shared" si="5"/>
        <v>1</v>
      </c>
    </row>
    <row r="20" spans="11:27">
      <c r="K20" s="73">
        <v>38705</v>
      </c>
      <c r="S20" s="69">
        <v>38703</v>
      </c>
      <c r="T20" s="70">
        <f t="shared" si="0"/>
        <v>7</v>
      </c>
      <c r="W20">
        <f t="shared" si="3"/>
        <v>2</v>
      </c>
      <c r="X20">
        <f t="shared" si="1"/>
        <v>12</v>
      </c>
      <c r="Y20">
        <f t="shared" si="2"/>
        <v>2005</v>
      </c>
      <c r="Z20">
        <f t="shared" si="4"/>
        <v>3</v>
      </c>
      <c r="AA20">
        <f t="shared" si="5"/>
        <v>1</v>
      </c>
    </row>
    <row r="21" spans="11:27">
      <c r="K21" s="73">
        <v>38706</v>
      </c>
      <c r="S21" s="69">
        <v>38704</v>
      </c>
      <c r="T21" s="70">
        <f t="shared" si="0"/>
        <v>1</v>
      </c>
      <c r="W21">
        <f t="shared" si="3"/>
        <v>2</v>
      </c>
      <c r="X21">
        <f t="shared" si="1"/>
        <v>12</v>
      </c>
      <c r="Y21">
        <f t="shared" si="2"/>
        <v>2005</v>
      </c>
      <c r="Z21">
        <f t="shared" si="4"/>
        <v>3</v>
      </c>
      <c r="AA21">
        <f t="shared" si="5"/>
        <v>1</v>
      </c>
    </row>
    <row r="22" spans="11:27">
      <c r="K22" s="73">
        <v>38707</v>
      </c>
      <c r="S22" s="69">
        <v>38705</v>
      </c>
      <c r="T22" s="70">
        <f t="shared" si="0"/>
        <v>2</v>
      </c>
      <c r="W22">
        <f t="shared" si="3"/>
        <v>2</v>
      </c>
      <c r="X22">
        <f t="shared" si="1"/>
        <v>12</v>
      </c>
      <c r="Y22">
        <f t="shared" si="2"/>
        <v>2005</v>
      </c>
      <c r="Z22">
        <f t="shared" si="4"/>
        <v>3</v>
      </c>
      <c r="AA22">
        <f t="shared" si="5"/>
        <v>1</v>
      </c>
    </row>
    <row r="23" spans="11:27">
      <c r="K23" s="73">
        <v>38708</v>
      </c>
      <c r="S23" s="69">
        <v>38706</v>
      </c>
      <c r="T23" s="70">
        <f t="shared" si="0"/>
        <v>3</v>
      </c>
      <c r="W23">
        <f t="shared" si="3"/>
        <v>2</v>
      </c>
      <c r="X23">
        <f t="shared" si="1"/>
        <v>12</v>
      </c>
      <c r="Y23">
        <f t="shared" si="2"/>
        <v>2005</v>
      </c>
      <c r="Z23">
        <f t="shared" si="4"/>
        <v>3</v>
      </c>
      <c r="AA23">
        <f t="shared" si="5"/>
        <v>1</v>
      </c>
    </row>
    <row r="24" spans="11:27">
      <c r="K24" s="73">
        <v>38709</v>
      </c>
      <c r="S24" s="69">
        <v>38707</v>
      </c>
      <c r="T24" s="70">
        <f t="shared" si="0"/>
        <v>4</v>
      </c>
      <c r="U24">
        <v>3</v>
      </c>
      <c r="W24">
        <f t="shared" si="3"/>
        <v>5</v>
      </c>
      <c r="X24">
        <f t="shared" si="1"/>
        <v>12</v>
      </c>
      <c r="Y24">
        <f t="shared" si="2"/>
        <v>2005</v>
      </c>
      <c r="Z24">
        <f t="shared" si="4"/>
        <v>6</v>
      </c>
      <c r="AA24">
        <f t="shared" si="5"/>
        <v>1</v>
      </c>
    </row>
    <row r="25" spans="11:27">
      <c r="K25" s="73">
        <v>38710</v>
      </c>
      <c r="S25" s="69">
        <v>38708</v>
      </c>
      <c r="T25" s="70">
        <f t="shared" si="0"/>
        <v>5</v>
      </c>
      <c r="W25">
        <f t="shared" si="3"/>
        <v>5</v>
      </c>
      <c r="X25">
        <f t="shared" si="1"/>
        <v>12</v>
      </c>
      <c r="Y25">
        <f t="shared" si="2"/>
        <v>2005</v>
      </c>
      <c r="Z25">
        <f t="shared" si="4"/>
        <v>6</v>
      </c>
      <c r="AA25">
        <f t="shared" si="5"/>
        <v>1</v>
      </c>
    </row>
    <row r="26" spans="11:27">
      <c r="K26" s="73">
        <v>38711</v>
      </c>
      <c r="S26" s="69">
        <v>38709</v>
      </c>
      <c r="T26" s="70">
        <f t="shared" si="0"/>
        <v>6</v>
      </c>
      <c r="W26">
        <f t="shared" si="3"/>
        <v>5</v>
      </c>
      <c r="X26">
        <f t="shared" si="1"/>
        <v>12</v>
      </c>
      <c r="Y26">
        <f t="shared" si="2"/>
        <v>2005</v>
      </c>
      <c r="Z26">
        <f t="shared" si="4"/>
        <v>6</v>
      </c>
      <c r="AA26">
        <f t="shared" si="5"/>
        <v>1</v>
      </c>
    </row>
    <row r="27" spans="11:27">
      <c r="K27" s="73">
        <v>38712</v>
      </c>
      <c r="S27" s="69">
        <v>38710</v>
      </c>
      <c r="T27" s="70">
        <f t="shared" si="0"/>
        <v>7</v>
      </c>
      <c r="W27">
        <f t="shared" si="3"/>
        <v>5</v>
      </c>
      <c r="X27">
        <f t="shared" si="1"/>
        <v>12</v>
      </c>
      <c r="Y27">
        <f t="shared" si="2"/>
        <v>2005</v>
      </c>
      <c r="Z27">
        <f t="shared" si="4"/>
        <v>6</v>
      </c>
      <c r="AA27">
        <f t="shared" si="5"/>
        <v>1</v>
      </c>
    </row>
    <row r="28" spans="11:27">
      <c r="K28" s="73">
        <v>38713</v>
      </c>
      <c r="S28" s="69">
        <v>38711</v>
      </c>
      <c r="T28" s="70">
        <f t="shared" si="0"/>
        <v>1</v>
      </c>
      <c r="U28">
        <v>5</v>
      </c>
      <c r="W28">
        <f t="shared" si="3"/>
        <v>10</v>
      </c>
      <c r="X28">
        <f t="shared" si="1"/>
        <v>12</v>
      </c>
      <c r="Y28">
        <f t="shared" si="2"/>
        <v>2005</v>
      </c>
      <c r="Z28">
        <f t="shared" si="4"/>
        <v>11</v>
      </c>
      <c r="AA28">
        <f t="shared" si="5"/>
        <v>1</v>
      </c>
    </row>
    <row r="29" spans="11:27">
      <c r="K29" s="73">
        <v>38714</v>
      </c>
      <c r="S29" s="69">
        <v>38712</v>
      </c>
      <c r="T29" s="70">
        <f t="shared" si="0"/>
        <v>2</v>
      </c>
      <c r="V29">
        <v>3</v>
      </c>
      <c r="W29">
        <f t="shared" si="3"/>
        <v>7</v>
      </c>
      <c r="X29">
        <f t="shared" si="1"/>
        <v>12</v>
      </c>
      <c r="Y29">
        <f t="shared" si="2"/>
        <v>2005</v>
      </c>
      <c r="Z29">
        <f t="shared" si="4"/>
        <v>11</v>
      </c>
      <c r="AA29">
        <f t="shared" si="5"/>
        <v>4</v>
      </c>
    </row>
    <row r="30" spans="11:27">
      <c r="K30" s="73">
        <v>38715</v>
      </c>
      <c r="S30" s="69">
        <v>38713</v>
      </c>
      <c r="T30" s="70">
        <f t="shared" si="0"/>
        <v>3</v>
      </c>
      <c r="W30">
        <f t="shared" si="3"/>
        <v>7</v>
      </c>
      <c r="X30">
        <f t="shared" si="1"/>
        <v>12</v>
      </c>
      <c r="Y30">
        <f t="shared" si="2"/>
        <v>2005</v>
      </c>
      <c r="Z30">
        <f t="shared" si="4"/>
        <v>11</v>
      </c>
      <c r="AA30">
        <f t="shared" si="5"/>
        <v>4</v>
      </c>
    </row>
    <row r="31" spans="11:27">
      <c r="K31" s="73">
        <v>38716</v>
      </c>
      <c r="S31" s="69">
        <v>38714</v>
      </c>
      <c r="T31" s="70">
        <f t="shared" si="0"/>
        <v>4</v>
      </c>
      <c r="W31">
        <f t="shared" si="3"/>
        <v>7</v>
      </c>
      <c r="X31">
        <f t="shared" si="1"/>
        <v>12</v>
      </c>
      <c r="Y31">
        <f t="shared" si="2"/>
        <v>2005</v>
      </c>
      <c r="Z31">
        <f t="shared" si="4"/>
        <v>11</v>
      </c>
      <c r="AA31">
        <f t="shared" si="5"/>
        <v>4</v>
      </c>
    </row>
    <row r="32" spans="11:27">
      <c r="K32" s="73">
        <v>38717</v>
      </c>
      <c r="S32" s="69">
        <v>38715</v>
      </c>
      <c r="T32" s="70">
        <f t="shared" si="0"/>
        <v>5</v>
      </c>
      <c r="W32">
        <f t="shared" si="3"/>
        <v>7</v>
      </c>
      <c r="X32">
        <f t="shared" si="1"/>
        <v>12</v>
      </c>
      <c r="Y32">
        <f t="shared" si="2"/>
        <v>2005</v>
      </c>
      <c r="Z32">
        <f t="shared" si="4"/>
        <v>11</v>
      </c>
      <c r="AA32">
        <f t="shared" si="5"/>
        <v>4</v>
      </c>
    </row>
    <row r="33" spans="11:27">
      <c r="K33" s="73">
        <v>38718</v>
      </c>
      <c r="S33" s="69">
        <v>38716</v>
      </c>
      <c r="T33" s="70">
        <f t="shared" si="0"/>
        <v>6</v>
      </c>
      <c r="W33">
        <f t="shared" si="3"/>
        <v>7</v>
      </c>
      <c r="X33">
        <f t="shared" si="1"/>
        <v>12</v>
      </c>
      <c r="Y33">
        <f t="shared" si="2"/>
        <v>2005</v>
      </c>
      <c r="Z33">
        <f t="shared" si="4"/>
        <v>11</v>
      </c>
      <c r="AA33">
        <f t="shared" si="5"/>
        <v>4</v>
      </c>
    </row>
    <row r="34" spans="11:27">
      <c r="K34" s="73">
        <v>38719</v>
      </c>
      <c r="S34" s="69">
        <v>38717</v>
      </c>
      <c r="T34" s="70">
        <f t="shared" si="0"/>
        <v>7</v>
      </c>
      <c r="W34">
        <f t="shared" si="3"/>
        <v>7</v>
      </c>
      <c r="X34">
        <f t="shared" si="1"/>
        <v>12</v>
      </c>
      <c r="Y34">
        <f t="shared" si="2"/>
        <v>2005</v>
      </c>
      <c r="Z34">
        <f t="shared" si="4"/>
        <v>11</v>
      </c>
      <c r="AA34">
        <f t="shared" si="5"/>
        <v>4</v>
      </c>
    </row>
    <row r="35" spans="11:27">
      <c r="K35" s="73">
        <v>38720</v>
      </c>
      <c r="S35" s="69">
        <v>38718</v>
      </c>
      <c r="T35" s="70">
        <f t="shared" si="0"/>
        <v>1</v>
      </c>
      <c r="W35">
        <f t="shared" si="3"/>
        <v>7</v>
      </c>
      <c r="X35">
        <f t="shared" si="1"/>
        <v>1</v>
      </c>
      <c r="Y35">
        <f t="shared" si="2"/>
        <v>2006</v>
      </c>
      <c r="Z35">
        <f t="shared" si="4"/>
        <v>11</v>
      </c>
      <c r="AA35">
        <f t="shared" si="5"/>
        <v>4</v>
      </c>
    </row>
    <row r="36" spans="11:27">
      <c r="K36" s="73">
        <v>38721</v>
      </c>
      <c r="S36" s="69">
        <v>38719</v>
      </c>
      <c r="T36" s="70">
        <f t="shared" ref="T36:T67" si="6" xml:space="preserve"> WEEKDAY(S36)</f>
        <v>2</v>
      </c>
      <c r="W36">
        <f t="shared" si="3"/>
        <v>7</v>
      </c>
      <c r="X36">
        <f t="shared" ref="X36:X67" si="7" xml:space="preserve"> MONTH(S36)</f>
        <v>1</v>
      </c>
      <c r="Y36">
        <f t="shared" ref="Y36:Y67" si="8" xml:space="preserve"> YEAR(S36)</f>
        <v>2006</v>
      </c>
      <c r="Z36">
        <f t="shared" si="4"/>
        <v>11</v>
      </c>
      <c r="AA36">
        <f t="shared" si="5"/>
        <v>4</v>
      </c>
    </row>
    <row r="37" spans="11:27">
      <c r="K37" s="73">
        <v>38722</v>
      </c>
      <c r="S37" s="69">
        <v>38720</v>
      </c>
      <c r="T37" s="70">
        <f t="shared" si="6"/>
        <v>3</v>
      </c>
      <c r="W37">
        <f t="shared" ref="W37:W66" si="9">W36+U37-V37</f>
        <v>7</v>
      </c>
      <c r="X37">
        <f t="shared" si="7"/>
        <v>1</v>
      </c>
      <c r="Y37">
        <f t="shared" si="8"/>
        <v>2006</v>
      </c>
      <c r="Z37">
        <f t="shared" ref="Z37:Z67" si="10">Z36+U37</f>
        <v>11</v>
      </c>
      <c r="AA37">
        <f t="shared" ref="AA37:AA67" si="11">AA36+V37</f>
        <v>4</v>
      </c>
    </row>
    <row r="38" spans="11:27">
      <c r="K38" s="73">
        <v>38723</v>
      </c>
      <c r="S38" s="69">
        <v>38721</v>
      </c>
      <c r="T38" s="70">
        <f t="shared" si="6"/>
        <v>4</v>
      </c>
      <c r="W38">
        <f t="shared" si="9"/>
        <v>7</v>
      </c>
      <c r="X38">
        <f t="shared" si="7"/>
        <v>1</v>
      </c>
      <c r="Y38">
        <f t="shared" si="8"/>
        <v>2006</v>
      </c>
      <c r="Z38">
        <f t="shared" si="10"/>
        <v>11</v>
      </c>
      <c r="AA38">
        <f t="shared" si="11"/>
        <v>4</v>
      </c>
    </row>
    <row r="39" spans="11:27">
      <c r="K39" s="73">
        <v>38724</v>
      </c>
      <c r="S39" s="69">
        <v>38722</v>
      </c>
      <c r="T39" s="70">
        <f t="shared" si="6"/>
        <v>5</v>
      </c>
      <c r="W39">
        <f t="shared" si="9"/>
        <v>7</v>
      </c>
      <c r="X39">
        <f t="shared" si="7"/>
        <v>1</v>
      </c>
      <c r="Y39">
        <f t="shared" si="8"/>
        <v>2006</v>
      </c>
      <c r="Z39">
        <f t="shared" si="10"/>
        <v>11</v>
      </c>
      <c r="AA39">
        <f t="shared" si="11"/>
        <v>4</v>
      </c>
    </row>
    <row r="40" spans="11:27">
      <c r="K40" s="73">
        <v>38725</v>
      </c>
      <c r="S40" s="69">
        <v>38723</v>
      </c>
      <c r="T40" s="70">
        <f t="shared" si="6"/>
        <v>6</v>
      </c>
      <c r="W40">
        <f t="shared" si="9"/>
        <v>7</v>
      </c>
      <c r="X40">
        <f t="shared" si="7"/>
        <v>1</v>
      </c>
      <c r="Y40">
        <f t="shared" si="8"/>
        <v>2006</v>
      </c>
      <c r="Z40">
        <f t="shared" si="10"/>
        <v>11</v>
      </c>
      <c r="AA40">
        <f t="shared" si="11"/>
        <v>4</v>
      </c>
    </row>
    <row r="41" spans="11:27">
      <c r="K41" s="73">
        <v>38726</v>
      </c>
      <c r="S41" s="69">
        <v>38724</v>
      </c>
      <c r="T41" s="70">
        <f t="shared" si="6"/>
        <v>7</v>
      </c>
      <c r="W41">
        <f t="shared" si="9"/>
        <v>7</v>
      </c>
      <c r="X41">
        <f t="shared" si="7"/>
        <v>1</v>
      </c>
      <c r="Y41">
        <f t="shared" si="8"/>
        <v>2006</v>
      </c>
      <c r="Z41">
        <f t="shared" si="10"/>
        <v>11</v>
      </c>
      <c r="AA41">
        <f t="shared" si="11"/>
        <v>4</v>
      </c>
    </row>
    <row r="42" spans="11:27">
      <c r="K42" s="73">
        <v>38727</v>
      </c>
      <c r="S42" s="69">
        <v>38725</v>
      </c>
      <c r="T42" s="70">
        <f t="shared" si="6"/>
        <v>1</v>
      </c>
      <c r="W42">
        <f t="shared" si="9"/>
        <v>7</v>
      </c>
      <c r="X42">
        <f t="shared" si="7"/>
        <v>1</v>
      </c>
      <c r="Y42">
        <f t="shared" si="8"/>
        <v>2006</v>
      </c>
      <c r="Z42">
        <f t="shared" si="10"/>
        <v>11</v>
      </c>
      <c r="AA42">
        <f t="shared" si="11"/>
        <v>4</v>
      </c>
    </row>
    <row r="43" spans="11:27">
      <c r="K43" s="73">
        <v>38728</v>
      </c>
      <c r="S43" s="69">
        <v>38726</v>
      </c>
      <c r="T43" s="70">
        <f t="shared" si="6"/>
        <v>2</v>
      </c>
      <c r="W43">
        <f t="shared" si="9"/>
        <v>7</v>
      </c>
      <c r="X43">
        <f t="shared" si="7"/>
        <v>1</v>
      </c>
      <c r="Y43">
        <f t="shared" si="8"/>
        <v>2006</v>
      </c>
      <c r="Z43">
        <f t="shared" si="10"/>
        <v>11</v>
      </c>
      <c r="AA43">
        <f t="shared" si="11"/>
        <v>4</v>
      </c>
    </row>
    <row r="44" spans="11:27">
      <c r="K44" s="73">
        <v>38729</v>
      </c>
      <c r="S44" s="69">
        <v>38727</v>
      </c>
      <c r="T44" s="70">
        <f t="shared" si="6"/>
        <v>3</v>
      </c>
      <c r="W44">
        <f t="shared" si="9"/>
        <v>7</v>
      </c>
      <c r="X44">
        <f t="shared" si="7"/>
        <v>1</v>
      </c>
      <c r="Y44">
        <f t="shared" si="8"/>
        <v>2006</v>
      </c>
      <c r="Z44">
        <f t="shared" si="10"/>
        <v>11</v>
      </c>
      <c r="AA44">
        <f t="shared" si="11"/>
        <v>4</v>
      </c>
    </row>
    <row r="45" spans="11:27">
      <c r="K45" s="73">
        <v>38730</v>
      </c>
      <c r="S45" s="69">
        <v>38728</v>
      </c>
      <c r="T45" s="70">
        <f t="shared" si="6"/>
        <v>4</v>
      </c>
      <c r="W45">
        <f t="shared" si="9"/>
        <v>7</v>
      </c>
      <c r="X45">
        <f t="shared" si="7"/>
        <v>1</v>
      </c>
      <c r="Y45">
        <f t="shared" si="8"/>
        <v>2006</v>
      </c>
      <c r="Z45">
        <f t="shared" si="10"/>
        <v>11</v>
      </c>
      <c r="AA45">
        <f t="shared" si="11"/>
        <v>4</v>
      </c>
    </row>
    <row r="46" spans="11:27">
      <c r="K46" s="73">
        <v>38731</v>
      </c>
      <c r="S46" s="69">
        <v>38729</v>
      </c>
      <c r="T46" s="70">
        <f t="shared" si="6"/>
        <v>5</v>
      </c>
      <c r="W46">
        <f t="shared" si="9"/>
        <v>7</v>
      </c>
      <c r="X46">
        <f t="shared" si="7"/>
        <v>1</v>
      </c>
      <c r="Y46">
        <f t="shared" si="8"/>
        <v>2006</v>
      </c>
      <c r="Z46">
        <f t="shared" si="10"/>
        <v>11</v>
      </c>
      <c r="AA46">
        <f t="shared" si="11"/>
        <v>4</v>
      </c>
    </row>
    <row r="47" spans="11:27">
      <c r="K47" s="73">
        <v>38732</v>
      </c>
      <c r="S47" s="69">
        <v>38730</v>
      </c>
      <c r="T47" s="70">
        <f t="shared" si="6"/>
        <v>6</v>
      </c>
      <c r="W47">
        <f t="shared" si="9"/>
        <v>7</v>
      </c>
      <c r="X47">
        <f t="shared" si="7"/>
        <v>1</v>
      </c>
      <c r="Y47">
        <f t="shared" si="8"/>
        <v>2006</v>
      </c>
      <c r="Z47">
        <f t="shared" si="10"/>
        <v>11</v>
      </c>
      <c r="AA47">
        <f t="shared" si="11"/>
        <v>4</v>
      </c>
    </row>
    <row r="48" spans="11:27">
      <c r="K48" s="73">
        <v>38733</v>
      </c>
      <c r="S48" s="69">
        <v>38731</v>
      </c>
      <c r="T48" s="70">
        <f t="shared" si="6"/>
        <v>7</v>
      </c>
      <c r="W48">
        <f t="shared" si="9"/>
        <v>7</v>
      </c>
      <c r="X48">
        <f t="shared" si="7"/>
        <v>1</v>
      </c>
      <c r="Y48">
        <f t="shared" si="8"/>
        <v>2006</v>
      </c>
      <c r="Z48">
        <f t="shared" si="10"/>
        <v>11</v>
      </c>
      <c r="AA48">
        <f t="shared" si="11"/>
        <v>4</v>
      </c>
    </row>
    <row r="49" spans="11:27">
      <c r="K49" s="73">
        <v>38734</v>
      </c>
      <c r="S49" s="69">
        <v>38732</v>
      </c>
      <c r="T49" s="70">
        <f t="shared" si="6"/>
        <v>1</v>
      </c>
      <c r="W49">
        <f t="shared" si="9"/>
        <v>7</v>
      </c>
      <c r="X49">
        <f t="shared" si="7"/>
        <v>1</v>
      </c>
      <c r="Y49">
        <f t="shared" si="8"/>
        <v>2006</v>
      </c>
      <c r="Z49">
        <f t="shared" si="10"/>
        <v>11</v>
      </c>
      <c r="AA49">
        <f t="shared" si="11"/>
        <v>4</v>
      </c>
    </row>
    <row r="50" spans="11:27">
      <c r="K50" s="73">
        <v>38735</v>
      </c>
      <c r="S50" s="69">
        <v>38733</v>
      </c>
      <c r="T50" s="70">
        <f t="shared" si="6"/>
        <v>2</v>
      </c>
      <c r="W50">
        <f t="shared" si="9"/>
        <v>7</v>
      </c>
      <c r="X50">
        <f t="shared" si="7"/>
        <v>1</v>
      </c>
      <c r="Y50">
        <f t="shared" si="8"/>
        <v>2006</v>
      </c>
      <c r="Z50">
        <f t="shared" si="10"/>
        <v>11</v>
      </c>
      <c r="AA50">
        <f t="shared" si="11"/>
        <v>4</v>
      </c>
    </row>
    <row r="51" spans="11:27">
      <c r="K51" s="73">
        <v>38736</v>
      </c>
      <c r="S51" s="69">
        <v>38734</v>
      </c>
      <c r="T51" s="70">
        <f t="shared" si="6"/>
        <v>3</v>
      </c>
      <c r="W51">
        <f t="shared" si="9"/>
        <v>7</v>
      </c>
      <c r="X51">
        <f t="shared" si="7"/>
        <v>1</v>
      </c>
      <c r="Y51">
        <f t="shared" si="8"/>
        <v>2006</v>
      </c>
      <c r="Z51">
        <f t="shared" si="10"/>
        <v>11</v>
      </c>
      <c r="AA51">
        <f t="shared" si="11"/>
        <v>4</v>
      </c>
    </row>
    <row r="52" spans="11:27">
      <c r="K52" s="73">
        <v>38737</v>
      </c>
      <c r="S52" s="69">
        <v>38735</v>
      </c>
      <c r="T52" s="70">
        <f t="shared" si="6"/>
        <v>4</v>
      </c>
      <c r="W52">
        <f t="shared" si="9"/>
        <v>7</v>
      </c>
      <c r="X52">
        <f t="shared" si="7"/>
        <v>1</v>
      </c>
      <c r="Y52">
        <f t="shared" si="8"/>
        <v>2006</v>
      </c>
      <c r="Z52">
        <f t="shared" si="10"/>
        <v>11</v>
      </c>
      <c r="AA52">
        <f t="shared" si="11"/>
        <v>4</v>
      </c>
    </row>
    <row r="53" spans="11:27">
      <c r="K53" s="73">
        <v>38738</v>
      </c>
      <c r="S53" s="69">
        <v>38736</v>
      </c>
      <c r="T53" s="70">
        <f t="shared" si="6"/>
        <v>5</v>
      </c>
      <c r="W53">
        <f t="shared" si="9"/>
        <v>7</v>
      </c>
      <c r="X53">
        <f t="shared" si="7"/>
        <v>1</v>
      </c>
      <c r="Y53">
        <f t="shared" si="8"/>
        <v>2006</v>
      </c>
      <c r="Z53">
        <f t="shared" si="10"/>
        <v>11</v>
      </c>
      <c r="AA53">
        <f t="shared" si="11"/>
        <v>4</v>
      </c>
    </row>
    <row r="54" spans="11:27">
      <c r="K54" s="73">
        <v>38739</v>
      </c>
      <c r="S54" s="69">
        <v>38737</v>
      </c>
      <c r="T54" s="70">
        <f t="shared" si="6"/>
        <v>6</v>
      </c>
      <c r="W54">
        <f t="shared" si="9"/>
        <v>7</v>
      </c>
      <c r="X54">
        <f t="shared" si="7"/>
        <v>1</v>
      </c>
      <c r="Y54">
        <f t="shared" si="8"/>
        <v>2006</v>
      </c>
      <c r="Z54">
        <f t="shared" si="10"/>
        <v>11</v>
      </c>
      <c r="AA54">
        <f t="shared" si="11"/>
        <v>4</v>
      </c>
    </row>
    <row r="55" spans="11:27">
      <c r="K55" s="73">
        <v>38740</v>
      </c>
      <c r="S55" s="69">
        <v>38738</v>
      </c>
      <c r="T55" s="70">
        <f t="shared" si="6"/>
        <v>7</v>
      </c>
      <c r="W55">
        <f t="shared" si="9"/>
        <v>7</v>
      </c>
      <c r="X55">
        <f t="shared" si="7"/>
        <v>1</v>
      </c>
      <c r="Y55">
        <f t="shared" si="8"/>
        <v>2006</v>
      </c>
      <c r="Z55">
        <f t="shared" si="10"/>
        <v>11</v>
      </c>
      <c r="AA55">
        <f t="shared" si="11"/>
        <v>4</v>
      </c>
    </row>
    <row r="56" spans="11:27">
      <c r="K56" s="73">
        <v>38741</v>
      </c>
      <c r="S56" s="69">
        <v>38739</v>
      </c>
      <c r="T56" s="70">
        <f t="shared" si="6"/>
        <v>1</v>
      </c>
      <c r="W56">
        <f t="shared" si="9"/>
        <v>7</v>
      </c>
      <c r="X56">
        <f t="shared" si="7"/>
        <v>1</v>
      </c>
      <c r="Y56">
        <f t="shared" si="8"/>
        <v>2006</v>
      </c>
      <c r="Z56">
        <f t="shared" si="10"/>
        <v>11</v>
      </c>
      <c r="AA56">
        <f t="shared" si="11"/>
        <v>4</v>
      </c>
    </row>
    <row r="57" spans="11:27">
      <c r="K57" s="73">
        <v>38742</v>
      </c>
      <c r="S57" s="69">
        <v>38740</v>
      </c>
      <c r="T57" s="70">
        <f t="shared" si="6"/>
        <v>2</v>
      </c>
      <c r="W57">
        <f t="shared" si="9"/>
        <v>7</v>
      </c>
      <c r="X57">
        <f t="shared" si="7"/>
        <v>1</v>
      </c>
      <c r="Y57">
        <f t="shared" si="8"/>
        <v>2006</v>
      </c>
      <c r="Z57">
        <f t="shared" si="10"/>
        <v>11</v>
      </c>
      <c r="AA57">
        <f t="shared" si="11"/>
        <v>4</v>
      </c>
    </row>
    <row r="58" spans="11:27">
      <c r="K58" s="73">
        <v>38743</v>
      </c>
      <c r="S58" s="69">
        <v>38741</v>
      </c>
      <c r="T58" s="70">
        <f t="shared" si="6"/>
        <v>3</v>
      </c>
      <c r="W58">
        <f t="shared" si="9"/>
        <v>7</v>
      </c>
      <c r="X58">
        <f t="shared" si="7"/>
        <v>1</v>
      </c>
      <c r="Y58">
        <f t="shared" si="8"/>
        <v>2006</v>
      </c>
      <c r="Z58">
        <f t="shared" si="10"/>
        <v>11</v>
      </c>
      <c r="AA58">
        <f t="shared" si="11"/>
        <v>4</v>
      </c>
    </row>
    <row r="59" spans="11:27">
      <c r="K59" s="73">
        <v>38744</v>
      </c>
      <c r="S59" s="69">
        <v>38742</v>
      </c>
      <c r="T59" s="70">
        <f t="shared" si="6"/>
        <v>4</v>
      </c>
      <c r="W59">
        <f t="shared" si="9"/>
        <v>7</v>
      </c>
      <c r="X59">
        <f t="shared" si="7"/>
        <v>1</v>
      </c>
      <c r="Y59">
        <f t="shared" si="8"/>
        <v>2006</v>
      </c>
      <c r="Z59">
        <f t="shared" si="10"/>
        <v>11</v>
      </c>
      <c r="AA59">
        <f t="shared" si="11"/>
        <v>4</v>
      </c>
    </row>
    <row r="60" spans="11:27">
      <c r="K60" s="73">
        <v>38745</v>
      </c>
      <c r="S60" s="69">
        <v>38743</v>
      </c>
      <c r="T60" s="70">
        <f t="shared" si="6"/>
        <v>5</v>
      </c>
      <c r="W60">
        <f t="shared" si="9"/>
        <v>7</v>
      </c>
      <c r="X60">
        <f t="shared" si="7"/>
        <v>1</v>
      </c>
      <c r="Y60">
        <f t="shared" si="8"/>
        <v>2006</v>
      </c>
      <c r="Z60">
        <f t="shared" si="10"/>
        <v>11</v>
      </c>
      <c r="AA60">
        <f t="shared" si="11"/>
        <v>4</v>
      </c>
    </row>
    <row r="61" spans="11:27">
      <c r="K61" s="73">
        <v>38746</v>
      </c>
      <c r="S61" s="69">
        <v>38744</v>
      </c>
      <c r="T61" s="70">
        <f t="shared" si="6"/>
        <v>6</v>
      </c>
      <c r="W61">
        <f t="shared" si="9"/>
        <v>7</v>
      </c>
      <c r="X61">
        <f t="shared" si="7"/>
        <v>1</v>
      </c>
      <c r="Y61">
        <f t="shared" si="8"/>
        <v>2006</v>
      </c>
      <c r="Z61">
        <f t="shared" si="10"/>
        <v>11</v>
      </c>
      <c r="AA61">
        <f t="shared" si="11"/>
        <v>4</v>
      </c>
    </row>
    <row r="62" spans="11:27">
      <c r="K62" s="73">
        <v>38747</v>
      </c>
      <c r="S62" s="69">
        <v>38745</v>
      </c>
      <c r="T62" s="70">
        <f t="shared" si="6"/>
        <v>7</v>
      </c>
      <c r="W62">
        <f t="shared" si="9"/>
        <v>7</v>
      </c>
      <c r="X62">
        <f t="shared" si="7"/>
        <v>1</v>
      </c>
      <c r="Y62">
        <f t="shared" si="8"/>
        <v>2006</v>
      </c>
      <c r="Z62">
        <f t="shared" si="10"/>
        <v>11</v>
      </c>
      <c r="AA62">
        <f t="shared" si="11"/>
        <v>4</v>
      </c>
    </row>
    <row r="63" spans="11:27">
      <c r="K63" s="73">
        <v>38748</v>
      </c>
      <c r="S63" s="69">
        <v>38746</v>
      </c>
      <c r="T63" s="70">
        <f t="shared" si="6"/>
        <v>1</v>
      </c>
      <c r="W63">
        <f t="shared" si="9"/>
        <v>7</v>
      </c>
      <c r="X63">
        <f t="shared" si="7"/>
        <v>1</v>
      </c>
      <c r="Y63">
        <f t="shared" si="8"/>
        <v>2006</v>
      </c>
      <c r="Z63">
        <f t="shared" si="10"/>
        <v>11</v>
      </c>
      <c r="AA63">
        <f t="shared" si="11"/>
        <v>4</v>
      </c>
    </row>
    <row r="64" spans="11:27">
      <c r="S64" s="69">
        <v>38747</v>
      </c>
      <c r="T64" s="70">
        <f t="shared" si="6"/>
        <v>2</v>
      </c>
      <c r="W64">
        <f t="shared" si="9"/>
        <v>7</v>
      </c>
      <c r="X64">
        <f t="shared" si="7"/>
        <v>1</v>
      </c>
      <c r="Y64">
        <f t="shared" si="8"/>
        <v>2006</v>
      </c>
      <c r="Z64">
        <f t="shared" si="10"/>
        <v>11</v>
      </c>
      <c r="AA64">
        <f t="shared" si="11"/>
        <v>4</v>
      </c>
    </row>
    <row r="65" spans="19:27">
      <c r="S65" s="69">
        <v>38748</v>
      </c>
      <c r="T65" s="70">
        <f t="shared" si="6"/>
        <v>3</v>
      </c>
      <c r="W65">
        <f t="shared" si="9"/>
        <v>7</v>
      </c>
      <c r="X65">
        <f t="shared" si="7"/>
        <v>1</v>
      </c>
      <c r="Y65">
        <f t="shared" si="8"/>
        <v>2006</v>
      </c>
      <c r="Z65">
        <f t="shared" si="10"/>
        <v>11</v>
      </c>
      <c r="AA65">
        <f t="shared" si="11"/>
        <v>4</v>
      </c>
    </row>
    <row r="66" spans="19:27">
      <c r="S66" s="69" t="s">
        <v>13</v>
      </c>
      <c r="T66" s="70" t="e">
        <f t="shared" si="6"/>
        <v>#VALUE!</v>
      </c>
      <c r="V66">
        <v>7</v>
      </c>
      <c r="W66">
        <f t="shared" si="9"/>
        <v>0</v>
      </c>
      <c r="X66" t="e">
        <f t="shared" si="7"/>
        <v>#VALUE!</v>
      </c>
      <c r="Y66" t="e">
        <f t="shared" si="8"/>
        <v>#VALUE!</v>
      </c>
      <c r="Z66">
        <f t="shared" si="10"/>
        <v>11</v>
      </c>
      <c r="AA66">
        <f t="shared" si="11"/>
        <v>11</v>
      </c>
    </row>
    <row r="67" spans="19:27">
      <c r="S67" s="69" t="s">
        <v>14</v>
      </c>
      <c r="T67" s="70" t="e">
        <f t="shared" si="6"/>
        <v>#VALUE!</v>
      </c>
      <c r="U67">
        <v>11</v>
      </c>
      <c r="V67">
        <v>11</v>
      </c>
      <c r="X67" t="e">
        <f t="shared" si="7"/>
        <v>#VALUE!</v>
      </c>
      <c r="Y67" t="e">
        <f t="shared" si="8"/>
        <v>#VALUE!</v>
      </c>
      <c r="Z67">
        <f t="shared" si="10"/>
        <v>22</v>
      </c>
      <c r="AA67">
        <f t="shared" si="11"/>
        <v>22</v>
      </c>
    </row>
  </sheetData>
  <dataConsolidate topLabels="1">
    <dataRefs count="3">
      <dataRef ref="K1:K63" sheet="swork" r:id="rId3"/>
      <dataRef ref="A2:C6" sheet="swork" r:id="rId4"/>
      <dataRef ref="F2:H6" sheet="swork" r:id="rId5"/>
    </dataRefs>
  </dataConsolidate>
  <phoneticPr fontId="26"/>
  <printOptions gridLinesSet="0"/>
  <pageMargins left="0.75" right="0.75" top="1" bottom="1" header="0.5" footer="0.5"/>
  <pageSetup paperSize="9" orientation="portrait" horizontalDpi="0" verticalDpi="0" r:id="rId6"/>
  <headerFooter alignWithMargins="0">
    <oddHeader>&amp;A</oddHeader>
    <oddFooter>- &amp;P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T39"/>
  <sheetViews>
    <sheetView showGridLines="0" workbookViewId="0">
      <pane ySplit="1" topLeftCell="A2" activePane="bottomLeft" state="frozen"/>
      <selection activeCell="C4" sqref="C4"/>
      <selection pane="bottomLeft" activeCell="I3" sqref="I3"/>
    </sheetView>
  </sheetViews>
  <sheetFormatPr defaultRowHeight="14.25"/>
  <cols>
    <col min="1" max="1" width="2.625" customWidth="1"/>
    <col min="3" max="8" width="0" hidden="1" customWidth="1"/>
    <col min="11" max="11" width="2.625" customWidth="1"/>
    <col min="13" max="18" width="0" hidden="1" customWidth="1"/>
    <col min="21" max="21" width="2.625" customWidth="1"/>
    <col min="23" max="28" width="0" hidden="1" customWidth="1"/>
    <col min="31" max="31" width="2.625" customWidth="1"/>
    <col min="33" max="38" width="0" hidden="1" customWidth="1"/>
    <col min="41" max="41" width="2.625" customWidth="1"/>
    <col min="43" max="48" width="0" hidden="1" customWidth="1"/>
    <col min="51" max="51" width="2.625" customWidth="1"/>
    <col min="53" max="58" width="0" hidden="1" customWidth="1"/>
    <col min="61" max="63" width="2.625" customWidth="1"/>
  </cols>
  <sheetData>
    <row r="1" spans="1:20" ht="45" customHeight="1"/>
    <row r="2" spans="1:20">
      <c r="A2" t="s">
        <v>15</v>
      </c>
    </row>
    <row r="3" spans="1:20" ht="15" customHeight="1"/>
    <row r="4" spans="1:20">
      <c r="B4" s="84" t="s">
        <v>16</v>
      </c>
      <c r="C4" s="85"/>
      <c r="D4" s="85"/>
      <c r="E4" s="85"/>
      <c r="F4" s="85"/>
      <c r="G4" s="85"/>
      <c r="H4" s="85"/>
      <c r="I4" s="85"/>
      <c r="J4" s="86"/>
      <c r="L4" s="84" t="s">
        <v>17</v>
      </c>
      <c r="M4" s="85"/>
      <c r="N4" s="85"/>
      <c r="O4" s="85"/>
      <c r="P4" s="85"/>
      <c r="Q4" s="85"/>
      <c r="R4" s="85"/>
      <c r="S4" s="85"/>
      <c r="T4" s="86"/>
    </row>
    <row r="5" spans="1:20">
      <c r="B5" s="87" t="s">
        <v>18</v>
      </c>
      <c r="C5" s="88"/>
      <c r="D5" s="88"/>
      <c r="E5" s="88"/>
      <c r="F5" s="88"/>
      <c r="G5" s="88"/>
      <c r="H5" s="88"/>
      <c r="I5" s="88"/>
      <c r="J5" s="89"/>
      <c r="L5" s="87" t="s">
        <v>19</v>
      </c>
      <c r="M5" s="88"/>
      <c r="N5" s="88"/>
      <c r="O5" s="88"/>
      <c r="P5" s="88"/>
      <c r="Q5" s="88"/>
      <c r="R5" s="88"/>
      <c r="S5" s="88"/>
      <c r="T5" s="89"/>
    </row>
    <row r="6" spans="1:20">
      <c r="B6" s="90" t="s">
        <v>4</v>
      </c>
      <c r="C6" s="91" t="s">
        <v>11</v>
      </c>
      <c r="D6" s="92" t="s">
        <v>12</v>
      </c>
      <c r="E6" s="92" t="s">
        <v>5</v>
      </c>
      <c r="F6" s="93" t="s">
        <v>159</v>
      </c>
      <c r="G6" s="92" t="s">
        <v>160</v>
      </c>
      <c r="H6" s="92" t="s">
        <v>161</v>
      </c>
      <c r="I6" s="94" t="s">
        <v>162</v>
      </c>
      <c r="J6" s="94" t="s">
        <v>163</v>
      </c>
      <c r="L6" s="90" t="s">
        <v>4</v>
      </c>
      <c r="M6" s="91" t="s">
        <v>11</v>
      </c>
      <c r="N6" s="92" t="s">
        <v>12</v>
      </c>
      <c r="O6" s="92" t="s">
        <v>5</v>
      </c>
      <c r="P6" s="93" t="s">
        <v>159</v>
      </c>
      <c r="Q6" s="92" t="s">
        <v>160</v>
      </c>
      <c r="R6" s="92" t="s">
        <v>161</v>
      </c>
      <c r="S6" s="94" t="s">
        <v>162</v>
      </c>
      <c r="T6" s="94" t="s">
        <v>163</v>
      </c>
    </row>
    <row r="7" spans="1:20">
      <c r="B7" s="95">
        <v>38687</v>
      </c>
      <c r="C7" s="96">
        <v>5</v>
      </c>
      <c r="D7" s="97"/>
      <c r="E7" s="97"/>
      <c r="F7" s="97">
        <v>0</v>
      </c>
      <c r="G7" s="97">
        <v>12</v>
      </c>
      <c r="H7" s="97">
        <v>2005</v>
      </c>
      <c r="I7" s="97"/>
      <c r="J7" s="97"/>
      <c r="L7" s="95">
        <v>38718</v>
      </c>
      <c r="M7" s="96">
        <v>1</v>
      </c>
      <c r="N7" s="97"/>
      <c r="O7" s="97"/>
      <c r="P7" s="97">
        <v>7</v>
      </c>
      <c r="Q7" s="97">
        <v>1</v>
      </c>
      <c r="R7" s="97">
        <v>2006</v>
      </c>
      <c r="S7" s="97"/>
      <c r="T7" s="97"/>
    </row>
    <row r="8" spans="1:20">
      <c r="B8" s="95">
        <v>38688</v>
      </c>
      <c r="C8" s="96">
        <v>6</v>
      </c>
      <c r="D8" s="97"/>
      <c r="E8" s="97"/>
      <c r="F8" s="97">
        <v>0</v>
      </c>
      <c r="G8" s="97">
        <v>12</v>
      </c>
      <c r="H8" s="97">
        <v>2005</v>
      </c>
      <c r="I8" s="97"/>
      <c r="J8" s="97"/>
      <c r="L8" s="95">
        <v>38719</v>
      </c>
      <c r="M8" s="96">
        <v>2</v>
      </c>
      <c r="N8" s="97"/>
      <c r="O8" s="97"/>
      <c r="P8" s="97">
        <v>7</v>
      </c>
      <c r="Q8" s="97">
        <v>1</v>
      </c>
      <c r="R8" s="97">
        <v>2006</v>
      </c>
      <c r="S8" s="97"/>
      <c r="T8" s="97"/>
    </row>
    <row r="9" spans="1:20">
      <c r="B9" s="95">
        <v>38689</v>
      </c>
      <c r="C9" s="96">
        <v>7</v>
      </c>
      <c r="D9" s="97"/>
      <c r="E9" s="97"/>
      <c r="F9" s="97">
        <v>0</v>
      </c>
      <c r="G9" s="97">
        <v>12</v>
      </c>
      <c r="H9" s="97">
        <v>2005</v>
      </c>
      <c r="I9" s="97"/>
      <c r="J9" s="97"/>
      <c r="L9" s="95">
        <v>38720</v>
      </c>
      <c r="M9" s="96">
        <v>3</v>
      </c>
      <c r="N9" s="97"/>
      <c r="O9" s="97"/>
      <c r="P9" s="97">
        <v>7</v>
      </c>
      <c r="Q9" s="97">
        <v>1</v>
      </c>
      <c r="R9" s="97">
        <v>2006</v>
      </c>
      <c r="S9" s="97"/>
      <c r="T9" s="97"/>
    </row>
    <row r="10" spans="1:20">
      <c r="B10" s="95">
        <v>38690</v>
      </c>
      <c r="C10" s="96">
        <v>1</v>
      </c>
      <c r="D10" s="97"/>
      <c r="E10" s="97"/>
      <c r="F10" s="97">
        <v>0</v>
      </c>
      <c r="G10" s="97">
        <v>12</v>
      </c>
      <c r="H10" s="97">
        <v>2005</v>
      </c>
      <c r="I10" s="97"/>
      <c r="J10" s="97"/>
      <c r="L10" s="95">
        <v>38721</v>
      </c>
      <c r="M10" s="96">
        <v>4</v>
      </c>
      <c r="N10" s="97"/>
      <c r="O10" s="97"/>
      <c r="P10" s="97">
        <v>7</v>
      </c>
      <c r="Q10" s="97">
        <v>1</v>
      </c>
      <c r="R10" s="97">
        <v>2006</v>
      </c>
      <c r="S10" s="97"/>
      <c r="T10" s="97"/>
    </row>
    <row r="11" spans="1:20">
      <c r="B11" s="95">
        <v>38691</v>
      </c>
      <c r="C11" s="96">
        <v>2</v>
      </c>
      <c r="D11" s="97"/>
      <c r="E11" s="97"/>
      <c r="F11" s="97">
        <v>0</v>
      </c>
      <c r="G11" s="97">
        <v>12</v>
      </c>
      <c r="H11" s="97">
        <v>2005</v>
      </c>
      <c r="I11" s="97"/>
      <c r="J11" s="97"/>
      <c r="L11" s="95">
        <v>38722</v>
      </c>
      <c r="M11" s="96">
        <v>5</v>
      </c>
      <c r="N11" s="97"/>
      <c r="O11" s="97"/>
      <c r="P11" s="97">
        <v>7</v>
      </c>
      <c r="Q11" s="97">
        <v>1</v>
      </c>
      <c r="R11" s="97">
        <v>2006</v>
      </c>
      <c r="S11" s="97"/>
      <c r="T11" s="97"/>
    </row>
    <row r="12" spans="1:20">
      <c r="B12" s="95">
        <v>38692</v>
      </c>
      <c r="C12" s="96">
        <v>3</v>
      </c>
      <c r="D12" s="97"/>
      <c r="E12" s="97"/>
      <c r="F12" s="97">
        <v>0</v>
      </c>
      <c r="G12" s="97">
        <v>12</v>
      </c>
      <c r="H12" s="97">
        <v>2005</v>
      </c>
      <c r="I12" s="97"/>
      <c r="J12" s="97"/>
      <c r="L12" s="95">
        <v>38723</v>
      </c>
      <c r="M12" s="96">
        <v>6</v>
      </c>
      <c r="N12" s="97"/>
      <c r="O12" s="97"/>
      <c r="P12" s="97">
        <v>7</v>
      </c>
      <c r="Q12" s="97">
        <v>1</v>
      </c>
      <c r="R12" s="97">
        <v>2006</v>
      </c>
      <c r="S12" s="97"/>
      <c r="T12" s="97"/>
    </row>
    <row r="13" spans="1:20">
      <c r="B13" s="95">
        <v>38693</v>
      </c>
      <c r="C13" s="96">
        <v>4</v>
      </c>
      <c r="D13" s="97"/>
      <c r="E13" s="97"/>
      <c r="F13" s="97">
        <v>0</v>
      </c>
      <c r="G13" s="97">
        <v>12</v>
      </c>
      <c r="H13" s="97">
        <v>2005</v>
      </c>
      <c r="I13" s="97"/>
      <c r="J13" s="97"/>
      <c r="L13" s="95">
        <v>38724</v>
      </c>
      <c r="M13" s="96">
        <v>7</v>
      </c>
      <c r="N13" s="97"/>
      <c r="O13" s="97"/>
      <c r="P13" s="97">
        <v>7</v>
      </c>
      <c r="Q13" s="97">
        <v>1</v>
      </c>
      <c r="R13" s="97">
        <v>2006</v>
      </c>
      <c r="S13" s="97"/>
      <c r="T13" s="97"/>
    </row>
    <row r="14" spans="1:20">
      <c r="B14" s="95">
        <v>38694</v>
      </c>
      <c r="C14" s="96">
        <v>5</v>
      </c>
      <c r="D14" s="97"/>
      <c r="E14" s="97"/>
      <c r="F14" s="97">
        <v>0</v>
      </c>
      <c r="G14" s="97">
        <v>12</v>
      </c>
      <c r="H14" s="97">
        <v>2005</v>
      </c>
      <c r="I14" s="97"/>
      <c r="J14" s="97"/>
      <c r="L14" s="95">
        <v>38725</v>
      </c>
      <c r="M14" s="96">
        <v>1</v>
      </c>
      <c r="N14" s="97"/>
      <c r="O14" s="97"/>
      <c r="P14" s="97">
        <v>7</v>
      </c>
      <c r="Q14" s="97">
        <v>1</v>
      </c>
      <c r="R14" s="97">
        <v>2006</v>
      </c>
      <c r="S14" s="97"/>
      <c r="T14" s="97"/>
    </row>
    <row r="15" spans="1:20">
      <c r="B15" s="95">
        <v>38695</v>
      </c>
      <c r="C15" s="96">
        <v>6</v>
      </c>
      <c r="D15" s="97"/>
      <c r="E15" s="97"/>
      <c r="F15" s="97">
        <v>0</v>
      </c>
      <c r="G15" s="97">
        <v>12</v>
      </c>
      <c r="H15" s="97">
        <v>2005</v>
      </c>
      <c r="I15" s="97"/>
      <c r="J15" s="97"/>
      <c r="L15" s="95">
        <v>38726</v>
      </c>
      <c r="M15" s="96">
        <v>2</v>
      </c>
      <c r="N15" s="97"/>
      <c r="O15" s="97"/>
      <c r="P15" s="97">
        <v>7</v>
      </c>
      <c r="Q15" s="97">
        <v>1</v>
      </c>
      <c r="R15" s="97">
        <v>2006</v>
      </c>
      <c r="S15" s="97"/>
      <c r="T15" s="97"/>
    </row>
    <row r="16" spans="1:20">
      <c r="B16" s="95">
        <v>38696</v>
      </c>
      <c r="C16" s="96">
        <v>7</v>
      </c>
      <c r="D16" s="97"/>
      <c r="E16" s="97"/>
      <c r="F16" s="97">
        <v>0</v>
      </c>
      <c r="G16" s="97">
        <v>12</v>
      </c>
      <c r="H16" s="97">
        <v>2005</v>
      </c>
      <c r="I16" s="97"/>
      <c r="J16" s="97"/>
      <c r="L16" s="95">
        <v>38727</v>
      </c>
      <c r="M16" s="96">
        <v>3</v>
      </c>
      <c r="N16" s="97"/>
      <c r="O16" s="97"/>
      <c r="P16" s="97">
        <v>7</v>
      </c>
      <c r="Q16" s="97">
        <v>1</v>
      </c>
      <c r="R16" s="97">
        <v>2006</v>
      </c>
      <c r="S16" s="97"/>
      <c r="T16" s="97"/>
    </row>
    <row r="17" spans="2:20">
      <c r="B17" s="95">
        <v>38697</v>
      </c>
      <c r="C17" s="96">
        <v>1</v>
      </c>
      <c r="D17" s="97">
        <v>3</v>
      </c>
      <c r="E17" s="97"/>
      <c r="F17" s="97">
        <v>3</v>
      </c>
      <c r="G17" s="97">
        <v>12</v>
      </c>
      <c r="H17" s="97">
        <v>2005</v>
      </c>
      <c r="I17" s="97"/>
      <c r="J17" s="97"/>
      <c r="L17" s="95">
        <v>38728</v>
      </c>
      <c r="M17" s="96">
        <v>4</v>
      </c>
      <c r="N17" s="97"/>
      <c r="O17" s="97"/>
      <c r="P17" s="97">
        <v>7</v>
      </c>
      <c r="Q17" s="97">
        <v>1</v>
      </c>
      <c r="R17" s="97">
        <v>2006</v>
      </c>
      <c r="S17" s="97"/>
      <c r="T17" s="97"/>
    </row>
    <row r="18" spans="2:20">
      <c r="B18" s="95">
        <v>38698</v>
      </c>
      <c r="C18" s="96">
        <v>2</v>
      </c>
      <c r="D18" s="97"/>
      <c r="E18" s="97"/>
      <c r="F18" s="97">
        <v>3</v>
      </c>
      <c r="G18" s="97">
        <v>12</v>
      </c>
      <c r="H18" s="97">
        <v>2005</v>
      </c>
      <c r="I18" s="97"/>
      <c r="J18" s="97"/>
      <c r="L18" s="95">
        <v>38729</v>
      </c>
      <c r="M18" s="96">
        <v>5</v>
      </c>
      <c r="N18" s="97"/>
      <c r="O18" s="97"/>
      <c r="P18" s="97">
        <v>7</v>
      </c>
      <c r="Q18" s="97">
        <v>1</v>
      </c>
      <c r="R18" s="97">
        <v>2006</v>
      </c>
      <c r="S18" s="97"/>
      <c r="T18" s="97"/>
    </row>
    <row r="19" spans="2:20">
      <c r="B19" s="95">
        <v>38699</v>
      </c>
      <c r="C19" s="96">
        <v>3</v>
      </c>
      <c r="D19" s="97"/>
      <c r="E19" s="97"/>
      <c r="F19" s="97">
        <v>3</v>
      </c>
      <c r="G19" s="97">
        <v>12</v>
      </c>
      <c r="H19" s="97">
        <v>2005</v>
      </c>
      <c r="I19" s="97"/>
      <c r="J19" s="97"/>
      <c r="L19" s="95">
        <v>38730</v>
      </c>
      <c r="M19" s="96">
        <v>6</v>
      </c>
      <c r="N19" s="97"/>
      <c r="O19" s="97"/>
      <c r="P19" s="97">
        <v>7</v>
      </c>
      <c r="Q19" s="97">
        <v>1</v>
      </c>
      <c r="R19" s="97">
        <v>2006</v>
      </c>
      <c r="S19" s="97"/>
      <c r="T19" s="97"/>
    </row>
    <row r="20" spans="2:20">
      <c r="B20" s="95">
        <v>38700</v>
      </c>
      <c r="C20" s="96">
        <v>4</v>
      </c>
      <c r="D20" s="97"/>
      <c r="E20" s="97"/>
      <c r="F20" s="97">
        <v>3</v>
      </c>
      <c r="G20" s="97">
        <v>12</v>
      </c>
      <c r="H20" s="97">
        <v>2005</v>
      </c>
      <c r="I20" s="97"/>
      <c r="J20" s="97"/>
      <c r="L20" s="95">
        <v>38731</v>
      </c>
      <c r="M20" s="96">
        <v>7</v>
      </c>
      <c r="N20" s="97"/>
      <c r="O20" s="97"/>
      <c r="P20" s="97">
        <v>7</v>
      </c>
      <c r="Q20" s="97">
        <v>1</v>
      </c>
      <c r="R20" s="97">
        <v>2006</v>
      </c>
      <c r="S20" s="97"/>
      <c r="T20" s="97"/>
    </row>
    <row r="21" spans="2:20">
      <c r="B21" s="95">
        <v>38701</v>
      </c>
      <c r="C21" s="96">
        <v>5</v>
      </c>
      <c r="D21" s="97"/>
      <c r="E21" s="97">
        <v>1</v>
      </c>
      <c r="F21" s="97">
        <v>2</v>
      </c>
      <c r="G21" s="97">
        <v>12</v>
      </c>
      <c r="H21" s="97">
        <v>2005</v>
      </c>
      <c r="I21" s="97"/>
      <c r="J21" s="97"/>
      <c r="L21" s="95">
        <v>38732</v>
      </c>
      <c r="M21" s="96">
        <v>1</v>
      </c>
      <c r="N21" s="97"/>
      <c r="O21" s="97"/>
      <c r="P21" s="97">
        <v>7</v>
      </c>
      <c r="Q21" s="97">
        <v>1</v>
      </c>
      <c r="R21" s="97">
        <v>2006</v>
      </c>
      <c r="S21" s="97"/>
      <c r="T21" s="97"/>
    </row>
    <row r="22" spans="2:20">
      <c r="B22" s="95">
        <v>38702</v>
      </c>
      <c r="C22" s="96">
        <v>6</v>
      </c>
      <c r="D22" s="97"/>
      <c r="E22" s="97"/>
      <c r="F22" s="97">
        <v>2</v>
      </c>
      <c r="G22" s="97">
        <v>12</v>
      </c>
      <c r="H22" s="97">
        <v>2005</v>
      </c>
      <c r="I22" s="97"/>
      <c r="J22" s="97"/>
      <c r="L22" s="95">
        <v>38733</v>
      </c>
      <c r="M22" s="96">
        <v>2</v>
      </c>
      <c r="N22" s="97"/>
      <c r="O22" s="97"/>
      <c r="P22" s="97">
        <v>7</v>
      </c>
      <c r="Q22" s="97">
        <v>1</v>
      </c>
      <c r="R22" s="97">
        <v>2006</v>
      </c>
      <c r="S22" s="97"/>
      <c r="T22" s="97"/>
    </row>
    <row r="23" spans="2:20">
      <c r="B23" s="95">
        <v>38703</v>
      </c>
      <c r="C23" s="96">
        <v>7</v>
      </c>
      <c r="D23" s="97"/>
      <c r="E23" s="97"/>
      <c r="F23" s="97">
        <v>2</v>
      </c>
      <c r="G23" s="97">
        <v>12</v>
      </c>
      <c r="H23" s="97">
        <v>2005</v>
      </c>
      <c r="I23" s="97"/>
      <c r="J23" s="97"/>
      <c r="L23" s="95">
        <v>38734</v>
      </c>
      <c r="M23" s="96">
        <v>3</v>
      </c>
      <c r="N23" s="97"/>
      <c r="O23" s="97"/>
      <c r="P23" s="97">
        <v>7</v>
      </c>
      <c r="Q23" s="97">
        <v>1</v>
      </c>
      <c r="R23" s="97">
        <v>2006</v>
      </c>
      <c r="S23" s="97"/>
      <c r="T23" s="97"/>
    </row>
    <row r="24" spans="2:20">
      <c r="B24" s="95">
        <v>38704</v>
      </c>
      <c r="C24" s="96">
        <v>1</v>
      </c>
      <c r="D24" s="97"/>
      <c r="E24" s="97"/>
      <c r="F24" s="97">
        <v>2</v>
      </c>
      <c r="G24" s="97">
        <v>12</v>
      </c>
      <c r="H24" s="97">
        <v>2005</v>
      </c>
      <c r="I24" s="97"/>
      <c r="J24" s="97"/>
      <c r="L24" s="95">
        <v>38735</v>
      </c>
      <c r="M24" s="96">
        <v>4</v>
      </c>
      <c r="N24" s="97"/>
      <c r="O24" s="97"/>
      <c r="P24" s="97">
        <v>7</v>
      </c>
      <c r="Q24" s="97">
        <v>1</v>
      </c>
      <c r="R24" s="97">
        <v>2006</v>
      </c>
      <c r="S24" s="97"/>
      <c r="T24" s="97"/>
    </row>
    <row r="25" spans="2:20">
      <c r="B25" s="95">
        <v>38705</v>
      </c>
      <c r="C25" s="96">
        <v>2</v>
      </c>
      <c r="D25" s="97"/>
      <c r="E25" s="97"/>
      <c r="F25" s="97">
        <v>2</v>
      </c>
      <c r="G25" s="97">
        <v>12</v>
      </c>
      <c r="H25" s="97">
        <v>2005</v>
      </c>
      <c r="I25" s="97"/>
      <c r="J25" s="97"/>
      <c r="L25" s="95">
        <v>38736</v>
      </c>
      <c r="M25" s="96">
        <v>5</v>
      </c>
      <c r="N25" s="97"/>
      <c r="O25" s="97"/>
      <c r="P25" s="97">
        <v>7</v>
      </c>
      <c r="Q25" s="97">
        <v>1</v>
      </c>
      <c r="R25" s="97">
        <v>2006</v>
      </c>
      <c r="S25" s="97"/>
      <c r="T25" s="97"/>
    </row>
    <row r="26" spans="2:20">
      <c r="B26" s="95">
        <v>38706</v>
      </c>
      <c r="C26" s="96">
        <v>3</v>
      </c>
      <c r="D26" s="97"/>
      <c r="E26" s="97"/>
      <c r="F26" s="97">
        <v>2</v>
      </c>
      <c r="G26" s="97">
        <v>12</v>
      </c>
      <c r="H26" s="97">
        <v>2005</v>
      </c>
      <c r="I26" s="97"/>
      <c r="J26" s="97"/>
      <c r="L26" s="95">
        <v>38737</v>
      </c>
      <c r="M26" s="96">
        <v>6</v>
      </c>
      <c r="N26" s="97"/>
      <c r="O26" s="97"/>
      <c r="P26" s="97">
        <v>7</v>
      </c>
      <c r="Q26" s="97">
        <v>1</v>
      </c>
      <c r="R26" s="97">
        <v>2006</v>
      </c>
      <c r="S26" s="97"/>
      <c r="T26" s="97"/>
    </row>
    <row r="27" spans="2:20">
      <c r="B27" s="95">
        <v>38707</v>
      </c>
      <c r="C27" s="96">
        <v>4</v>
      </c>
      <c r="D27" s="97">
        <v>3</v>
      </c>
      <c r="E27" s="97"/>
      <c r="F27" s="97">
        <v>5</v>
      </c>
      <c r="G27" s="97">
        <v>12</v>
      </c>
      <c r="H27" s="97">
        <v>2005</v>
      </c>
      <c r="I27" s="97"/>
      <c r="J27" s="97"/>
      <c r="L27" s="95">
        <v>38738</v>
      </c>
      <c r="M27" s="96">
        <v>7</v>
      </c>
      <c r="N27" s="97"/>
      <c r="O27" s="97"/>
      <c r="P27" s="97">
        <v>7</v>
      </c>
      <c r="Q27" s="97">
        <v>1</v>
      </c>
      <c r="R27" s="97">
        <v>2006</v>
      </c>
      <c r="S27" s="97"/>
      <c r="T27" s="97"/>
    </row>
    <row r="28" spans="2:20">
      <c r="B28" s="95">
        <v>38708</v>
      </c>
      <c r="C28" s="96">
        <v>5</v>
      </c>
      <c r="D28" s="97"/>
      <c r="E28" s="97"/>
      <c r="F28" s="97">
        <v>5</v>
      </c>
      <c r="G28" s="97">
        <v>12</v>
      </c>
      <c r="H28" s="97">
        <v>2005</v>
      </c>
      <c r="I28" s="97"/>
      <c r="J28" s="97"/>
      <c r="L28" s="95">
        <v>38739</v>
      </c>
      <c r="M28" s="96">
        <v>1</v>
      </c>
      <c r="N28" s="97"/>
      <c r="O28" s="97"/>
      <c r="P28" s="97">
        <v>7</v>
      </c>
      <c r="Q28" s="97">
        <v>1</v>
      </c>
      <c r="R28" s="97">
        <v>2006</v>
      </c>
      <c r="S28" s="97"/>
      <c r="T28" s="97"/>
    </row>
    <row r="29" spans="2:20">
      <c r="B29" s="95">
        <v>38709</v>
      </c>
      <c r="C29" s="96">
        <v>6</v>
      </c>
      <c r="D29" s="97"/>
      <c r="E29" s="97"/>
      <c r="F29" s="97">
        <v>5</v>
      </c>
      <c r="G29" s="97">
        <v>12</v>
      </c>
      <c r="H29" s="97">
        <v>2005</v>
      </c>
      <c r="I29" s="97"/>
      <c r="J29" s="97"/>
      <c r="L29" s="95">
        <v>38740</v>
      </c>
      <c r="M29" s="96">
        <v>2</v>
      </c>
      <c r="N29" s="97"/>
      <c r="O29" s="97"/>
      <c r="P29" s="97">
        <v>7</v>
      </c>
      <c r="Q29" s="97">
        <v>1</v>
      </c>
      <c r="R29" s="97">
        <v>2006</v>
      </c>
      <c r="S29" s="97"/>
      <c r="T29" s="97"/>
    </row>
    <row r="30" spans="2:20">
      <c r="B30" s="95">
        <v>38710</v>
      </c>
      <c r="C30" s="96">
        <v>7</v>
      </c>
      <c r="D30" s="97"/>
      <c r="E30" s="97"/>
      <c r="F30" s="97">
        <v>5</v>
      </c>
      <c r="G30" s="97">
        <v>12</v>
      </c>
      <c r="H30" s="97">
        <v>2005</v>
      </c>
      <c r="I30" s="97"/>
      <c r="J30" s="97"/>
      <c r="L30" s="95">
        <v>38741</v>
      </c>
      <c r="M30" s="96">
        <v>3</v>
      </c>
      <c r="N30" s="97"/>
      <c r="O30" s="97"/>
      <c r="P30" s="97">
        <v>7</v>
      </c>
      <c r="Q30" s="97">
        <v>1</v>
      </c>
      <c r="R30" s="97">
        <v>2006</v>
      </c>
      <c r="S30" s="97"/>
      <c r="T30" s="97"/>
    </row>
    <row r="31" spans="2:20">
      <c r="B31" s="95">
        <v>38711</v>
      </c>
      <c r="C31" s="96">
        <v>1</v>
      </c>
      <c r="D31" s="97">
        <v>5</v>
      </c>
      <c r="E31" s="97"/>
      <c r="F31" s="97">
        <v>10</v>
      </c>
      <c r="G31" s="97">
        <v>12</v>
      </c>
      <c r="H31" s="97">
        <v>2005</v>
      </c>
      <c r="I31" s="97"/>
      <c r="J31" s="97"/>
      <c r="L31" s="95">
        <v>38742</v>
      </c>
      <c r="M31" s="96">
        <v>4</v>
      </c>
      <c r="N31" s="97"/>
      <c r="O31" s="97"/>
      <c r="P31" s="97">
        <v>7</v>
      </c>
      <c r="Q31" s="97">
        <v>1</v>
      </c>
      <c r="R31" s="97">
        <v>2006</v>
      </c>
      <c r="S31" s="97"/>
      <c r="T31" s="97"/>
    </row>
    <row r="32" spans="2:20">
      <c r="B32" s="95">
        <v>38712</v>
      </c>
      <c r="C32" s="96">
        <v>2</v>
      </c>
      <c r="D32" s="97"/>
      <c r="E32" s="97">
        <v>3</v>
      </c>
      <c r="F32" s="97">
        <v>7</v>
      </c>
      <c r="G32" s="97">
        <v>12</v>
      </c>
      <c r="H32" s="97">
        <v>2005</v>
      </c>
      <c r="I32" s="97"/>
      <c r="J32" s="97"/>
      <c r="L32" s="95">
        <v>38743</v>
      </c>
      <c r="M32" s="96">
        <v>5</v>
      </c>
      <c r="N32" s="97"/>
      <c r="O32" s="97"/>
      <c r="P32" s="97">
        <v>7</v>
      </c>
      <c r="Q32" s="97">
        <v>1</v>
      </c>
      <c r="R32" s="97">
        <v>2006</v>
      </c>
      <c r="S32" s="97"/>
      <c r="T32" s="97"/>
    </row>
    <row r="33" spans="2:20">
      <c r="B33" s="95">
        <v>38713</v>
      </c>
      <c r="C33" s="96">
        <v>3</v>
      </c>
      <c r="D33" s="97"/>
      <c r="E33" s="97"/>
      <c r="F33" s="97">
        <v>7</v>
      </c>
      <c r="G33" s="97">
        <v>12</v>
      </c>
      <c r="H33" s="97">
        <v>2005</v>
      </c>
      <c r="I33" s="97"/>
      <c r="J33" s="97"/>
      <c r="L33" s="95">
        <v>38744</v>
      </c>
      <c r="M33" s="96">
        <v>6</v>
      </c>
      <c r="N33" s="97"/>
      <c r="O33" s="97"/>
      <c r="P33" s="97">
        <v>7</v>
      </c>
      <c r="Q33" s="97">
        <v>1</v>
      </c>
      <c r="R33" s="97">
        <v>2006</v>
      </c>
      <c r="S33" s="97"/>
      <c r="T33" s="97"/>
    </row>
    <row r="34" spans="2:20">
      <c r="B34" s="95">
        <v>38714</v>
      </c>
      <c r="C34" s="96">
        <v>4</v>
      </c>
      <c r="D34" s="97"/>
      <c r="E34" s="97"/>
      <c r="F34" s="97">
        <v>7</v>
      </c>
      <c r="G34" s="97">
        <v>12</v>
      </c>
      <c r="H34" s="97">
        <v>2005</v>
      </c>
      <c r="I34" s="97"/>
      <c r="J34" s="97"/>
      <c r="L34" s="95">
        <v>38745</v>
      </c>
      <c r="M34" s="96">
        <v>7</v>
      </c>
      <c r="N34" s="97"/>
      <c r="O34" s="97"/>
      <c r="P34" s="97">
        <v>7</v>
      </c>
      <c r="Q34" s="97">
        <v>1</v>
      </c>
      <c r="R34" s="97">
        <v>2006</v>
      </c>
      <c r="S34" s="97"/>
      <c r="T34" s="97"/>
    </row>
    <row r="35" spans="2:20">
      <c r="B35" s="95">
        <v>38715</v>
      </c>
      <c r="C35" s="96">
        <v>5</v>
      </c>
      <c r="D35" s="97"/>
      <c r="E35" s="97"/>
      <c r="F35" s="97">
        <v>7</v>
      </c>
      <c r="G35" s="97">
        <v>12</v>
      </c>
      <c r="H35" s="97">
        <v>2005</v>
      </c>
      <c r="I35" s="97"/>
      <c r="J35" s="97"/>
      <c r="L35" s="95">
        <v>38746</v>
      </c>
      <c r="M35" s="96">
        <v>1</v>
      </c>
      <c r="N35" s="97"/>
      <c r="O35" s="97"/>
      <c r="P35" s="97">
        <v>7</v>
      </c>
      <c r="Q35" s="97">
        <v>1</v>
      </c>
      <c r="R35" s="97">
        <v>2006</v>
      </c>
      <c r="S35" s="97"/>
      <c r="T35" s="97"/>
    </row>
    <row r="36" spans="2:20">
      <c r="B36" s="95">
        <v>38716</v>
      </c>
      <c r="C36" s="96">
        <v>6</v>
      </c>
      <c r="D36" s="97"/>
      <c r="E36" s="97"/>
      <c r="F36" s="97">
        <v>7</v>
      </c>
      <c r="G36" s="97">
        <v>12</v>
      </c>
      <c r="H36" s="97">
        <v>2005</v>
      </c>
      <c r="I36" s="97"/>
      <c r="J36" s="97"/>
      <c r="L36" s="95">
        <v>38747</v>
      </c>
      <c r="M36" s="96">
        <v>2</v>
      </c>
      <c r="N36" s="97"/>
      <c r="O36" s="97"/>
      <c r="P36" s="97">
        <v>7</v>
      </c>
      <c r="Q36" s="97">
        <v>1</v>
      </c>
      <c r="R36" s="97">
        <v>2006</v>
      </c>
      <c r="S36" s="97"/>
      <c r="T36" s="97"/>
    </row>
    <row r="37" spans="2:20">
      <c r="B37" s="95">
        <v>38717</v>
      </c>
      <c r="C37" s="96">
        <v>7</v>
      </c>
      <c r="D37" s="97"/>
      <c r="E37" s="97"/>
      <c r="F37" s="97">
        <v>7</v>
      </c>
      <c r="G37" s="97">
        <v>12</v>
      </c>
      <c r="H37" s="97">
        <v>2005</v>
      </c>
      <c r="I37" s="97"/>
      <c r="J37" s="97"/>
      <c r="L37" s="95">
        <v>38748</v>
      </c>
      <c r="M37" s="96">
        <v>3</v>
      </c>
      <c r="N37" s="97"/>
      <c r="O37" s="97"/>
      <c r="P37" s="97">
        <v>7</v>
      </c>
      <c r="Q37" s="97">
        <v>1</v>
      </c>
      <c r="R37" s="97">
        <v>2006</v>
      </c>
      <c r="S37" s="97"/>
      <c r="T37" s="97"/>
    </row>
    <row r="38" spans="2:20">
      <c r="B38" s="98" t="s">
        <v>20</v>
      </c>
      <c r="C38" s="99"/>
      <c r="D38" s="97"/>
      <c r="E38" s="97"/>
      <c r="F38" s="97"/>
      <c r="G38" s="97"/>
      <c r="H38" s="97"/>
      <c r="I38" s="97"/>
      <c r="J38" s="97"/>
      <c r="L38" s="98" t="s">
        <v>20</v>
      </c>
      <c r="M38" s="99"/>
      <c r="N38" s="97"/>
      <c r="O38" s="97"/>
      <c r="P38" s="97"/>
      <c r="Q38" s="97"/>
      <c r="R38" s="97"/>
      <c r="S38" s="97"/>
      <c r="T38" s="97"/>
    </row>
    <row r="39" spans="2:20">
      <c r="B39" s="100" t="s">
        <v>21</v>
      </c>
      <c r="C39" s="100"/>
      <c r="D39" s="97"/>
      <c r="E39" s="97"/>
      <c r="F39" s="97"/>
      <c r="G39" s="97"/>
      <c r="H39" s="97"/>
      <c r="I39" s="97"/>
      <c r="J39" s="97"/>
      <c r="L39" s="100" t="s">
        <v>21</v>
      </c>
      <c r="M39" s="100"/>
      <c r="N39" s="97"/>
      <c r="O39" s="97"/>
      <c r="P39" s="97"/>
      <c r="Q39" s="97"/>
      <c r="R39" s="97"/>
      <c r="S39" s="97"/>
      <c r="T39" s="97"/>
    </row>
  </sheetData>
  <phoneticPr fontId="26"/>
  <printOptions gridLinesSet="0"/>
  <pageMargins left="0" right="0" top="0.59055118110236227" bottom="0.59055118110236227" header="0.31496062992125984" footer="0.31496062992125984"/>
  <pageSetup paperSize="9" fitToHeight="0" orientation="landscape" r:id="rId1"/>
  <headerFooter alignWithMargins="0">
    <oddHeader>&amp;C&amp;"ＭＳ ゴシック,太字"&amp;16グラフデータ&amp;R&amp;10&amp;D</oddHeader>
    <oddFooter>&amp;L&amp;10&amp;F&amp;C&amp;10&amp;P/&amp;N&amp;R&amp;10&amp;A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Line="0" autoPict="0" macro="[0]!ToEntry">
                <anchor moveWithCells="1" sizeWithCells="1">
                  <from>
                    <xdr:col>0</xdr:col>
                    <xdr:colOff>133350</xdr:colOff>
                    <xdr:row>0</xdr:row>
                    <xdr:rowOff>95250</xdr:rowOff>
                  </from>
                  <to>
                    <xdr:col>8</xdr:col>
                    <xdr:colOff>28575</xdr:colOff>
                    <xdr:row>0</xdr:row>
                    <xdr:rowOff>504825</xdr:rowOff>
                  </to>
                </anchor>
              </controlPr>
            </control>
          </mc:Choice>
        </mc:AlternateContent>
        <mc:AlternateContent xmlns:mc="http://schemas.openxmlformats.org/markup-compatibility/2006">
          <mc:Choice Requires="x14">
            <control shapeId="5124" r:id="rId5" name="Button 4">
              <controlPr defaultSize="0" print="0" autoFill="0" autoLine="0" autoPict="0" macro="[0]!ToGwork2">
                <anchor moveWithCells="1" sizeWithCells="1">
                  <from>
                    <xdr:col>9</xdr:col>
                    <xdr:colOff>495300</xdr:colOff>
                    <xdr:row>0</xdr:row>
                    <xdr:rowOff>95250</xdr:rowOff>
                  </from>
                  <to>
                    <xdr:col>11</xdr:col>
                    <xdr:colOff>171450</xdr:colOff>
                    <xdr:row>0</xdr:row>
                    <xdr:rowOff>504825</xdr:rowOff>
                  </to>
                </anchor>
              </controlPr>
            </control>
          </mc:Choice>
        </mc:AlternateContent>
        <mc:AlternateContent xmlns:mc="http://schemas.openxmlformats.org/markup-compatibility/2006">
          <mc:Choice Requires="x14">
            <control shapeId="5125" r:id="rId6" name="Button 5">
              <controlPr defaultSize="0" print="0" autoFill="0" autoLine="0" autoPict="0" macro="[0]!ToGraph2">
                <anchor moveWithCells="1" sizeWithCells="1">
                  <from>
                    <xdr:col>8</xdr:col>
                    <xdr:colOff>609600</xdr:colOff>
                    <xdr:row>0</xdr:row>
                    <xdr:rowOff>95250</xdr:rowOff>
                  </from>
                  <to>
                    <xdr:col>9</xdr:col>
                    <xdr:colOff>485775</xdr:colOff>
                    <xdr:row>0</xdr:row>
                    <xdr:rowOff>504825</xdr:rowOff>
                  </to>
                </anchor>
              </controlPr>
            </control>
          </mc:Choice>
        </mc:AlternateContent>
        <mc:AlternateContent xmlns:mc="http://schemas.openxmlformats.org/markup-compatibility/2006">
          <mc:Choice Requires="x14">
            <control shapeId="5126" r:id="rId7" name="Button 6">
              <controlPr defaultSize="0" print="0" autoFill="0" autoLine="0" autoPict="0" macro="[0]!ToSummary">
                <anchor moveWithCells="1" sizeWithCells="1">
                  <from>
                    <xdr:col>8</xdr:col>
                    <xdr:colOff>38100</xdr:colOff>
                    <xdr:row>0</xdr:row>
                    <xdr:rowOff>95250</xdr:rowOff>
                  </from>
                  <to>
                    <xdr:col>8</xdr:col>
                    <xdr:colOff>600075</xdr:colOff>
                    <xdr:row>0</xdr:row>
                    <xdr:rowOff>504825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4"/>
  <sheetViews>
    <sheetView showGridLines="0" workbookViewId="0">
      <selection activeCell="F3" sqref="F3"/>
    </sheetView>
  </sheetViews>
  <sheetFormatPr defaultRowHeight="14.25"/>
  <cols>
    <col min="1" max="1" width="3.625" customWidth="1"/>
  </cols>
  <sheetData>
    <row r="4" spans="1:1">
      <c r="A4">
        <f>graph!A4</f>
        <v>0</v>
      </c>
    </row>
  </sheetData>
  <phoneticPr fontId="26"/>
  <printOptions horizontalCentered="1" gridLinesSet="0"/>
  <pageMargins left="0.19685039370078741" right="0.19685039370078741" top="0.98425196850393704" bottom="0.59055118110236227" header="0.51181102362204722" footer="0.31496062992125984"/>
  <pageSetup paperSize="9" scale="110" fitToHeight="0" pageOrder="overThenDown" orientation="landscape" r:id="rId1"/>
  <headerFooter alignWithMargins="0">
    <oddHeader>&amp;C&amp;"ＭＳ ゴシック,太字"&amp;16障害件数累積グラフ&amp;R&amp;10&amp;D　&amp;T</oddHeader>
    <oddFooter>&amp;L&amp;10&amp;F&amp;C&amp;10&amp;P/&amp;N&amp;R&amp;10&amp;A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Line="0" autoPict="0" macro="[0]!ToEntry">
                <anchor moveWithCells="1" sizeWithCells="1">
                  <from>
                    <xdr:col>0</xdr:col>
                    <xdr:colOff>133350</xdr:colOff>
                    <xdr:row>0</xdr:row>
                    <xdr:rowOff>95250</xdr:rowOff>
                  </from>
                  <to>
                    <xdr:col>1</xdr:col>
                    <xdr:colOff>638175</xdr:colOff>
                    <xdr:row>2</xdr:row>
                    <xdr:rowOff>142875</xdr:rowOff>
                  </to>
                </anchor>
              </controlPr>
            </control>
          </mc:Choice>
        </mc:AlternateContent>
        <mc:AlternateContent xmlns:mc="http://schemas.openxmlformats.org/markup-compatibility/2006">
          <mc:Choice Requires="x14">
            <control shapeId="6149" r:id="rId5" name="Button 5">
              <controlPr defaultSize="0" print="0" autoFill="0" autoLine="0" autoPict="0" macro="[0]!ToGraph">
                <anchor moveWithCells="1" sizeWithCells="1">
                  <from>
                    <xdr:col>1</xdr:col>
                    <xdr:colOff>647700</xdr:colOff>
                    <xdr:row>0</xdr:row>
                    <xdr:rowOff>95250</xdr:rowOff>
                  </from>
                  <to>
                    <xdr:col>2</xdr:col>
                    <xdr:colOff>523875</xdr:colOff>
                    <xdr:row>2</xdr:row>
                    <xdr:rowOff>142875</xdr:rowOff>
                  </to>
                </anchor>
              </controlPr>
            </control>
          </mc:Choice>
        </mc:AlternateContent>
        <mc:AlternateContent xmlns:mc="http://schemas.openxmlformats.org/markup-compatibility/2006">
          <mc:Choice Requires="x14">
            <control shapeId="6150" r:id="rId6" name="Button 6">
              <controlPr defaultSize="0" print="0" autoFill="0" autoLine="0" autoPict="0" macro="[0]!ToSummary">
                <anchor moveWithCells="1" sizeWithCells="1">
                  <from>
                    <xdr:col>2</xdr:col>
                    <xdr:colOff>533400</xdr:colOff>
                    <xdr:row>0</xdr:row>
                    <xdr:rowOff>95250</xdr:rowOff>
                  </from>
                  <to>
                    <xdr:col>3</xdr:col>
                    <xdr:colOff>409575</xdr:colOff>
                    <xdr:row>2</xdr:row>
                    <xdr:rowOff>142875</xdr:rowOff>
                  </to>
                </anchor>
              </controlPr>
            </control>
          </mc:Choice>
        </mc:AlternateContent>
        <mc:AlternateContent xmlns:mc="http://schemas.openxmlformats.org/markup-compatibility/2006">
          <mc:Choice Requires="x14">
            <control shapeId="6151" r:id="rId7" name="Button 7">
              <controlPr defaultSize="0" print="0" autoFill="0" autoLine="0" autoPict="0" macro="[0]!ToGwork2">
                <anchor moveWithCells="1" sizeWithCells="1">
                  <from>
                    <xdr:col>3</xdr:col>
                    <xdr:colOff>419100</xdr:colOff>
                    <xdr:row>0</xdr:row>
                    <xdr:rowOff>95250</xdr:rowOff>
                  </from>
                  <to>
                    <xdr:col>4</xdr:col>
                    <xdr:colOff>295275</xdr:colOff>
                    <xdr:row>2</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49"/>
  <sheetViews>
    <sheetView showGridLines="0" workbookViewId="0">
      <pane ySplit="1" topLeftCell="A3" activePane="bottomLeft" state="frozen"/>
      <selection activeCell="C4" sqref="C4"/>
      <selection pane="bottomLeft" activeCell="B4" sqref="B4"/>
    </sheetView>
  </sheetViews>
  <sheetFormatPr defaultRowHeight="14.25"/>
  <cols>
    <col min="1" max="1" width="2.625" customWidth="1"/>
    <col min="2" max="2" width="10.625" style="101" customWidth="1"/>
  </cols>
  <sheetData>
    <row r="1" spans="1:5" ht="45" customHeight="1"/>
    <row r="3" spans="1:5">
      <c r="B3" s="102" t="s">
        <v>4</v>
      </c>
      <c r="C3" s="103" t="s">
        <v>22</v>
      </c>
      <c r="D3" s="103" t="s">
        <v>164</v>
      </c>
    </row>
    <row r="4" spans="1:5">
      <c r="A4" s="104"/>
      <c r="B4" s="105"/>
      <c r="C4" s="106"/>
      <c r="D4" s="106"/>
      <c r="E4" s="104"/>
    </row>
    <row r="5" spans="1:5">
      <c r="A5" s="104"/>
      <c r="B5" s="107"/>
      <c r="C5" s="104"/>
      <c r="D5" s="104"/>
      <c r="E5" s="104"/>
    </row>
    <row r="6" spans="1:5">
      <c r="A6" s="104"/>
      <c r="B6" s="107"/>
      <c r="C6" s="104"/>
      <c r="D6" s="104"/>
      <c r="E6" s="104"/>
    </row>
    <row r="7" spans="1:5">
      <c r="A7" s="104"/>
      <c r="B7" s="107"/>
      <c r="C7" s="104"/>
      <c r="D7" s="104"/>
      <c r="E7" s="104"/>
    </row>
    <row r="8" spans="1:5">
      <c r="A8" s="104"/>
      <c r="B8" s="107"/>
      <c r="C8" s="104"/>
      <c r="D8" s="104"/>
      <c r="E8" s="104"/>
    </row>
    <row r="9" spans="1:5">
      <c r="A9" s="104"/>
      <c r="B9" s="107"/>
      <c r="C9" s="104"/>
      <c r="D9" s="104"/>
      <c r="E9" s="104"/>
    </row>
    <row r="10" spans="1:5">
      <c r="A10" s="104"/>
      <c r="B10" s="107"/>
      <c r="C10" s="104"/>
      <c r="D10" s="104"/>
      <c r="E10" s="104"/>
    </row>
    <row r="11" spans="1:5">
      <c r="A11" s="104"/>
      <c r="B11" s="107"/>
      <c r="C11" s="104"/>
      <c r="D11" s="104"/>
      <c r="E11" s="104"/>
    </row>
    <row r="12" spans="1:5">
      <c r="A12" s="104"/>
      <c r="B12" s="107"/>
      <c r="C12" s="104"/>
      <c r="D12" s="104"/>
      <c r="E12" s="104"/>
    </row>
    <row r="13" spans="1:5">
      <c r="A13" s="104"/>
      <c r="B13" s="107"/>
      <c r="C13" s="104"/>
      <c r="D13" s="104"/>
      <c r="E13" s="104"/>
    </row>
    <row r="14" spans="1:5">
      <c r="A14" s="104"/>
      <c r="B14" s="107"/>
      <c r="C14" s="104"/>
      <c r="D14" s="104"/>
      <c r="E14" s="104"/>
    </row>
    <row r="15" spans="1:5">
      <c r="A15" s="104"/>
      <c r="B15" s="107"/>
      <c r="C15" s="104"/>
      <c r="D15" s="104"/>
      <c r="E15" s="104"/>
    </row>
    <row r="16" spans="1:5">
      <c r="A16" s="104"/>
      <c r="B16" s="107"/>
      <c r="C16" s="104"/>
      <c r="D16" s="104"/>
      <c r="E16" s="104"/>
    </row>
    <row r="17" spans="1:5">
      <c r="A17" s="104"/>
      <c r="B17" s="107"/>
      <c r="C17" s="104"/>
      <c r="D17" s="104"/>
      <c r="E17" s="104"/>
    </row>
    <row r="18" spans="1:5">
      <c r="A18" s="104"/>
      <c r="B18" s="107"/>
      <c r="C18" s="104"/>
      <c r="D18" s="104"/>
      <c r="E18" s="104"/>
    </row>
    <row r="19" spans="1:5">
      <c r="A19" s="104"/>
      <c r="B19" s="107"/>
      <c r="C19" s="104"/>
      <c r="D19" s="104"/>
      <c r="E19" s="104"/>
    </row>
    <row r="20" spans="1:5">
      <c r="A20" s="104"/>
      <c r="B20" s="107"/>
      <c r="C20" s="104"/>
      <c r="D20" s="104"/>
      <c r="E20" s="104"/>
    </row>
    <row r="21" spans="1:5">
      <c r="A21" s="104"/>
      <c r="B21" s="107"/>
      <c r="C21" s="104"/>
      <c r="D21" s="104"/>
      <c r="E21" s="104"/>
    </row>
    <row r="22" spans="1:5">
      <c r="A22" s="104"/>
      <c r="B22" s="107"/>
      <c r="C22" s="104"/>
      <c r="D22" s="104"/>
      <c r="E22" s="104"/>
    </row>
    <row r="23" spans="1:5">
      <c r="A23" s="104"/>
      <c r="B23" s="107"/>
      <c r="C23" s="104"/>
      <c r="D23" s="104"/>
      <c r="E23" s="104"/>
    </row>
    <row r="24" spans="1:5">
      <c r="A24" s="104"/>
      <c r="B24" s="107"/>
      <c r="C24" s="104"/>
      <c r="D24" s="104"/>
      <c r="E24" s="104"/>
    </row>
    <row r="25" spans="1:5">
      <c r="A25" s="104"/>
      <c r="B25" s="107"/>
      <c r="C25" s="104"/>
      <c r="D25" s="104"/>
      <c r="E25" s="104"/>
    </row>
    <row r="26" spans="1:5">
      <c r="A26" s="104"/>
      <c r="B26" s="107"/>
      <c r="C26" s="104"/>
      <c r="D26" s="104"/>
      <c r="E26" s="104"/>
    </row>
    <row r="27" spans="1:5">
      <c r="A27" s="104"/>
      <c r="B27" s="107"/>
      <c r="C27" s="104"/>
      <c r="D27" s="104"/>
      <c r="E27" s="104"/>
    </row>
    <row r="28" spans="1:5">
      <c r="A28" s="104"/>
      <c r="B28" s="107"/>
      <c r="C28" s="104"/>
      <c r="D28" s="104"/>
      <c r="E28" s="104"/>
    </row>
    <row r="29" spans="1:5">
      <c r="A29" s="104"/>
      <c r="B29" s="107"/>
      <c r="C29" s="104"/>
      <c r="D29" s="104"/>
      <c r="E29" s="104"/>
    </row>
    <row r="30" spans="1:5">
      <c r="A30" s="104"/>
      <c r="B30" s="107"/>
      <c r="C30" s="104"/>
      <c r="D30" s="104"/>
      <c r="E30" s="104"/>
    </row>
    <row r="31" spans="1:5">
      <c r="A31" s="104"/>
      <c r="B31" s="107"/>
      <c r="C31" s="104"/>
      <c r="D31" s="104"/>
      <c r="E31" s="104"/>
    </row>
    <row r="32" spans="1:5">
      <c r="A32" s="104"/>
      <c r="B32" s="107"/>
      <c r="C32" s="104"/>
      <c r="D32" s="104"/>
      <c r="E32" s="104"/>
    </row>
    <row r="33" spans="1:5">
      <c r="A33" s="104"/>
      <c r="B33" s="107"/>
      <c r="C33" s="104"/>
      <c r="D33" s="104"/>
      <c r="E33" s="104"/>
    </row>
    <row r="34" spans="1:5">
      <c r="A34" s="104"/>
      <c r="B34" s="107"/>
      <c r="C34" s="104"/>
      <c r="D34" s="104"/>
      <c r="E34" s="104"/>
    </row>
    <row r="35" spans="1:5">
      <c r="A35" s="104"/>
      <c r="B35" s="107"/>
      <c r="C35" s="104"/>
      <c r="D35" s="104"/>
      <c r="E35" s="104"/>
    </row>
    <row r="36" spans="1:5">
      <c r="A36" s="104"/>
      <c r="B36" s="107"/>
      <c r="C36" s="104"/>
      <c r="D36" s="104"/>
      <c r="E36" s="104"/>
    </row>
    <row r="37" spans="1:5">
      <c r="A37" s="104"/>
      <c r="B37" s="107"/>
      <c r="C37" s="104"/>
      <c r="D37" s="104"/>
      <c r="E37" s="104"/>
    </row>
    <row r="38" spans="1:5">
      <c r="A38" s="104"/>
      <c r="B38" s="107"/>
      <c r="C38" s="104"/>
      <c r="D38" s="104"/>
      <c r="E38" s="104"/>
    </row>
    <row r="39" spans="1:5">
      <c r="A39" s="104"/>
      <c r="B39" s="107"/>
      <c r="C39" s="104"/>
      <c r="D39" s="104"/>
      <c r="E39" s="104"/>
    </row>
    <row r="40" spans="1:5">
      <c r="A40" s="104"/>
      <c r="B40" s="107"/>
      <c r="C40" s="104"/>
      <c r="D40" s="104"/>
      <c r="E40" s="104"/>
    </row>
    <row r="41" spans="1:5">
      <c r="A41" s="104"/>
      <c r="B41" s="107"/>
      <c r="C41" s="104"/>
      <c r="D41" s="104"/>
      <c r="E41" s="104"/>
    </row>
    <row r="42" spans="1:5">
      <c r="A42" s="104"/>
      <c r="B42" s="107"/>
      <c r="C42" s="104"/>
      <c r="D42" s="104"/>
      <c r="E42" s="104"/>
    </row>
    <row r="43" spans="1:5">
      <c r="A43" s="104"/>
      <c r="B43" s="107"/>
      <c r="C43" s="104"/>
      <c r="D43" s="104"/>
      <c r="E43" s="104"/>
    </row>
    <row r="44" spans="1:5">
      <c r="A44" s="104"/>
      <c r="B44" s="107"/>
      <c r="C44" s="104"/>
      <c r="D44" s="104"/>
      <c r="E44" s="104"/>
    </row>
    <row r="45" spans="1:5">
      <c r="A45" s="104"/>
      <c r="B45" s="107"/>
      <c r="C45" s="104"/>
      <c r="D45" s="104"/>
      <c r="E45" s="104"/>
    </row>
    <row r="46" spans="1:5">
      <c r="A46" s="104"/>
      <c r="B46" s="107"/>
      <c r="C46" s="104"/>
      <c r="D46" s="104"/>
      <c r="E46" s="104"/>
    </row>
    <row r="47" spans="1:5">
      <c r="A47" s="104"/>
      <c r="B47" s="107"/>
      <c r="C47" s="104"/>
      <c r="D47" s="104"/>
      <c r="E47" s="104"/>
    </row>
    <row r="48" spans="1:5">
      <c r="A48" s="104"/>
      <c r="B48" s="107"/>
      <c r="C48" s="104"/>
      <c r="D48" s="104"/>
      <c r="E48" s="104"/>
    </row>
    <row r="49" spans="1:5">
      <c r="A49" s="104"/>
      <c r="B49" s="107"/>
      <c r="C49" s="104"/>
      <c r="D49" s="104"/>
      <c r="E49" s="104"/>
    </row>
  </sheetData>
  <phoneticPr fontId="26"/>
  <printOptions gridLinesSet="0"/>
  <pageMargins left="1.1811023622047245" right="0" top="0.39370078740157483" bottom="0.39370078740157483" header="0.19685039370078741" footer="0.19685039370078741"/>
  <pageSetup paperSize="9" fitToHeight="0" pageOrder="overThenDown" orientation="portrait" r:id="rId1"/>
  <headerFooter alignWithMargins="0">
    <oddHeader>&amp;C&amp;"ＭＳ ゴシック,太字"&amp;16グラフデータ２&amp;R&amp;10&amp;D  &amp;T</oddHeader>
    <oddFooter>&amp;L&amp;10&amp;F&amp;C&amp;10&amp;P/&amp;N&amp;R&amp;10&amp;A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ToEntry">
                <anchor moveWithCells="1" sizeWithCells="1">
                  <from>
                    <xdr:col>0</xdr:col>
                    <xdr:colOff>133350</xdr:colOff>
                    <xdr:row>0</xdr:row>
                    <xdr:rowOff>95250</xdr:rowOff>
                  </from>
                  <to>
                    <xdr:col>1</xdr:col>
                    <xdr:colOff>714375</xdr:colOff>
                    <xdr:row>0</xdr:row>
                    <xdr:rowOff>504825</xdr:rowOff>
                  </to>
                </anchor>
              </controlPr>
            </control>
          </mc:Choice>
        </mc:AlternateContent>
        <mc:AlternateContent xmlns:mc="http://schemas.openxmlformats.org/markup-compatibility/2006">
          <mc:Choice Requires="x14">
            <control shapeId="8196" r:id="rId5" name="Button 4">
              <controlPr defaultSize="0" print="0" autoFill="0" autoLine="0" autoPict="0" macro="[0]!ToGraph">
                <anchor moveWithCells="1" sizeWithCells="1">
                  <from>
                    <xdr:col>1</xdr:col>
                    <xdr:colOff>723900</xdr:colOff>
                    <xdr:row>0</xdr:row>
                    <xdr:rowOff>95250</xdr:rowOff>
                  </from>
                  <to>
                    <xdr:col>2</xdr:col>
                    <xdr:colOff>476250</xdr:colOff>
                    <xdr:row>0</xdr:row>
                    <xdr:rowOff>504825</xdr:rowOff>
                  </to>
                </anchor>
              </controlPr>
            </control>
          </mc:Choice>
        </mc:AlternateContent>
        <mc:AlternateContent xmlns:mc="http://schemas.openxmlformats.org/markup-compatibility/2006">
          <mc:Choice Requires="x14">
            <control shapeId="8197" r:id="rId6" name="Button 5">
              <controlPr defaultSize="0" print="0" autoFill="0" autoLine="0" autoPict="0" macro="[0]!ToSummary">
                <anchor moveWithCells="1" sizeWithCells="1">
                  <from>
                    <xdr:col>2</xdr:col>
                    <xdr:colOff>485775</xdr:colOff>
                    <xdr:row>0</xdr:row>
                    <xdr:rowOff>95250</xdr:rowOff>
                  </from>
                  <to>
                    <xdr:col>3</xdr:col>
                    <xdr:colOff>361950</xdr:colOff>
                    <xdr:row>0</xdr:row>
                    <xdr:rowOff>504825</xdr:rowOff>
                  </to>
                </anchor>
              </controlPr>
            </control>
          </mc:Choice>
        </mc:AlternateContent>
        <mc:AlternateContent xmlns:mc="http://schemas.openxmlformats.org/markup-compatibility/2006">
          <mc:Choice Requires="x14">
            <control shapeId="8198" r:id="rId7" name="Button 6">
              <controlPr defaultSize="0" print="0" autoFill="0" autoLine="0" autoPict="0" macro="[0]!ToGraph2">
                <anchor moveWithCells="1" sizeWithCells="1">
                  <from>
                    <xdr:col>3</xdr:col>
                    <xdr:colOff>371475</xdr:colOff>
                    <xdr:row>0</xdr:row>
                    <xdr:rowOff>95250</xdr:rowOff>
                  </from>
                  <to>
                    <xdr:col>4</xdr:col>
                    <xdr:colOff>247650</xdr:colOff>
                    <xdr:row>0</xdr:row>
                    <xdr:rowOff>504825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K17"/>
  <sheetViews>
    <sheetView showGridLines="0" workbookViewId="0">
      <selection activeCell="C2" sqref="C2"/>
    </sheetView>
  </sheetViews>
  <sheetFormatPr defaultRowHeight="14.25"/>
  <cols>
    <col min="1" max="1" width="14.625" style="113" customWidth="1"/>
    <col min="2" max="2" width="5.5" style="68" bestFit="1" customWidth="1"/>
    <col min="3" max="11" width="11.125" customWidth="1"/>
  </cols>
  <sheetData>
    <row r="1" spans="1:11" s="113" customFormat="1" ht="60" customHeight="1" thickBot="1">
      <c r="A1" s="108" t="s">
        <v>23</v>
      </c>
      <c r="B1" s="109"/>
      <c r="C1" s="110" t="s">
        <v>24</v>
      </c>
      <c r="D1" s="111" t="s">
        <v>165</v>
      </c>
      <c r="E1" s="111" t="s">
        <v>25</v>
      </c>
      <c r="F1" s="111" t="s">
        <v>26</v>
      </c>
      <c r="G1" s="111" t="s">
        <v>27</v>
      </c>
      <c r="H1" s="111" t="s">
        <v>166</v>
      </c>
      <c r="I1" s="111" t="s">
        <v>28</v>
      </c>
      <c r="J1" s="111" t="s">
        <v>29</v>
      </c>
      <c r="K1" s="112" t="s">
        <v>30</v>
      </c>
    </row>
    <row r="2" spans="1:11" ht="15" thickTop="1">
      <c r="A2" s="114" t="s">
        <v>165</v>
      </c>
      <c r="B2" s="115" t="s">
        <v>31</v>
      </c>
      <c r="C2" s="116"/>
      <c r="D2" s="116"/>
      <c r="E2" s="116"/>
      <c r="F2" s="116"/>
      <c r="G2" s="116"/>
      <c r="H2" s="116"/>
      <c r="I2" s="116"/>
      <c r="J2" s="116"/>
      <c r="K2" s="117"/>
    </row>
    <row r="3" spans="1:11">
      <c r="A3" s="118"/>
      <c r="B3" s="119" t="s">
        <v>32</v>
      </c>
      <c r="C3" s="120"/>
      <c r="D3" s="120"/>
      <c r="E3" s="120"/>
      <c r="F3" s="120"/>
      <c r="G3" s="120"/>
      <c r="H3" s="120"/>
      <c r="I3" s="120"/>
      <c r="J3" s="120"/>
      <c r="K3" s="121">
        <f>C2-C3</f>
        <v>0</v>
      </c>
    </row>
    <row r="4" spans="1:11">
      <c r="A4" s="122" t="s">
        <v>25</v>
      </c>
      <c r="B4" s="123" t="s">
        <v>31</v>
      </c>
      <c r="C4" s="124"/>
      <c r="D4" s="124"/>
      <c r="E4" s="124"/>
      <c r="F4" s="124"/>
      <c r="G4" s="124"/>
      <c r="H4" s="124"/>
      <c r="I4" s="124"/>
      <c r="J4" s="124"/>
      <c r="K4" s="125"/>
    </row>
    <row r="5" spans="1:11">
      <c r="A5" s="118"/>
      <c r="B5" s="119" t="s">
        <v>32</v>
      </c>
      <c r="C5" s="120"/>
      <c r="D5" s="120"/>
      <c r="E5" s="120"/>
      <c r="F5" s="120"/>
      <c r="G5" s="120"/>
      <c r="H5" s="120"/>
      <c r="I5" s="120"/>
      <c r="J5" s="120"/>
      <c r="K5" s="121">
        <f>C4-C5</f>
        <v>0</v>
      </c>
    </row>
    <row r="6" spans="1:11">
      <c r="A6" s="122" t="s">
        <v>26</v>
      </c>
      <c r="B6" s="123" t="s">
        <v>31</v>
      </c>
      <c r="C6" s="124"/>
      <c r="D6" s="124"/>
      <c r="E6" s="124"/>
      <c r="F6" s="124"/>
      <c r="G6" s="124"/>
      <c r="H6" s="124"/>
      <c r="I6" s="124"/>
      <c r="J6" s="124"/>
      <c r="K6" s="125"/>
    </row>
    <row r="7" spans="1:11">
      <c r="A7" s="118"/>
      <c r="B7" s="119" t="s">
        <v>32</v>
      </c>
      <c r="C7" s="120"/>
      <c r="D7" s="120"/>
      <c r="E7" s="120"/>
      <c r="F7" s="120"/>
      <c r="G7" s="120"/>
      <c r="H7" s="120"/>
      <c r="I7" s="120"/>
      <c r="J7" s="120"/>
      <c r="K7" s="121">
        <f>C6-C7</f>
        <v>0</v>
      </c>
    </row>
    <row r="8" spans="1:11">
      <c r="A8" s="122" t="s">
        <v>27</v>
      </c>
      <c r="B8" s="123" t="s">
        <v>31</v>
      </c>
      <c r="C8" s="124"/>
      <c r="D8" s="124"/>
      <c r="E8" s="124"/>
      <c r="F8" s="124"/>
      <c r="G8" s="124"/>
      <c r="H8" s="124"/>
      <c r="I8" s="124"/>
      <c r="J8" s="124"/>
      <c r="K8" s="125"/>
    </row>
    <row r="9" spans="1:11">
      <c r="A9" s="118"/>
      <c r="B9" s="119" t="s">
        <v>32</v>
      </c>
      <c r="C9" s="120"/>
      <c r="D9" s="120"/>
      <c r="E9" s="120"/>
      <c r="F9" s="120"/>
      <c r="G9" s="120"/>
      <c r="H9" s="120"/>
      <c r="I9" s="120"/>
      <c r="J9" s="120"/>
      <c r="K9" s="121">
        <f>C8-C9</f>
        <v>0</v>
      </c>
    </row>
    <row r="10" spans="1:11">
      <c r="A10" s="122" t="s">
        <v>166</v>
      </c>
      <c r="B10" s="123" t="s">
        <v>31</v>
      </c>
      <c r="C10" s="124"/>
      <c r="D10" s="124"/>
      <c r="E10" s="124"/>
      <c r="F10" s="124"/>
      <c r="G10" s="124"/>
      <c r="H10" s="124"/>
      <c r="I10" s="124"/>
      <c r="J10" s="124"/>
      <c r="K10" s="125"/>
    </row>
    <row r="11" spans="1:11">
      <c r="A11" s="118"/>
      <c r="B11" s="119" t="s">
        <v>32</v>
      </c>
      <c r="C11" s="120"/>
      <c r="D11" s="120"/>
      <c r="E11" s="120"/>
      <c r="F11" s="120"/>
      <c r="G11" s="120"/>
      <c r="H11" s="120"/>
      <c r="I11" s="120"/>
      <c r="J11" s="120"/>
      <c r="K11" s="121">
        <f>C10-C11</f>
        <v>0</v>
      </c>
    </row>
    <row r="12" spans="1:11">
      <c r="A12" s="122" t="s">
        <v>28</v>
      </c>
      <c r="B12" s="123" t="s">
        <v>31</v>
      </c>
      <c r="C12" s="124"/>
      <c r="D12" s="124"/>
      <c r="E12" s="124"/>
      <c r="F12" s="124"/>
      <c r="G12" s="124"/>
      <c r="H12" s="124"/>
      <c r="I12" s="124"/>
      <c r="J12" s="124"/>
      <c r="K12" s="125"/>
    </row>
    <row r="13" spans="1:11">
      <c r="A13" s="118"/>
      <c r="B13" s="119" t="s">
        <v>32</v>
      </c>
      <c r="C13" s="120"/>
      <c r="D13" s="120"/>
      <c r="E13" s="120"/>
      <c r="F13" s="120"/>
      <c r="G13" s="120"/>
      <c r="H13" s="120"/>
      <c r="I13" s="120"/>
      <c r="J13" s="120"/>
      <c r="K13" s="121">
        <f>C12-C13</f>
        <v>0</v>
      </c>
    </row>
    <row r="14" spans="1:11">
      <c r="A14" s="122" t="s">
        <v>29</v>
      </c>
      <c r="B14" s="123" t="s">
        <v>31</v>
      </c>
      <c r="C14" s="124"/>
      <c r="D14" s="124"/>
      <c r="E14" s="124"/>
      <c r="F14" s="124"/>
      <c r="G14" s="124"/>
      <c r="H14" s="124"/>
      <c r="I14" s="124"/>
      <c r="J14" s="124"/>
      <c r="K14" s="125"/>
    </row>
    <row r="15" spans="1:11" ht="15" thickBot="1">
      <c r="A15" s="114"/>
      <c r="B15" s="115" t="s">
        <v>32</v>
      </c>
      <c r="C15" s="116"/>
      <c r="D15" s="116"/>
      <c r="E15" s="116"/>
      <c r="F15" s="116"/>
      <c r="G15" s="116"/>
      <c r="H15" s="116"/>
      <c r="I15" s="116"/>
      <c r="J15" s="116"/>
      <c r="K15" s="117">
        <f>C14-C15</f>
        <v>0</v>
      </c>
    </row>
    <row r="16" spans="1:11">
      <c r="A16" s="126" t="s">
        <v>30</v>
      </c>
      <c r="B16" s="127" t="s">
        <v>33</v>
      </c>
      <c r="C16" s="128"/>
      <c r="D16" s="128"/>
      <c r="E16" s="128"/>
      <c r="F16" s="128"/>
      <c r="G16" s="128"/>
      <c r="H16" s="128"/>
      <c r="I16" s="128"/>
      <c r="J16" s="128"/>
      <c r="K16" s="129"/>
    </row>
    <row r="17" spans="1:11" ht="15" thickBot="1">
      <c r="A17" s="130"/>
      <c r="B17" s="131" t="s">
        <v>32</v>
      </c>
      <c r="C17" s="132"/>
      <c r="D17" s="132">
        <f t="shared" ref="D17:J17" si="0">D3+D5+D7+D9+D11+D13+D15</f>
        <v>0</v>
      </c>
      <c r="E17" s="132">
        <f t="shared" si="0"/>
        <v>0</v>
      </c>
      <c r="F17" s="132">
        <f t="shared" si="0"/>
        <v>0</v>
      </c>
      <c r="G17" s="132">
        <f t="shared" si="0"/>
        <v>0</v>
      </c>
      <c r="H17" s="132">
        <f t="shared" si="0"/>
        <v>0</v>
      </c>
      <c r="I17" s="132">
        <f t="shared" si="0"/>
        <v>0</v>
      </c>
      <c r="J17" s="132">
        <f t="shared" si="0"/>
        <v>0</v>
      </c>
      <c r="K17" s="133">
        <f>C16-C17</f>
        <v>0</v>
      </c>
    </row>
  </sheetData>
  <phoneticPr fontId="23"/>
  <printOptions horizontalCentered="1"/>
  <pageMargins left="0" right="0" top="0.78740157480314965" bottom="0.59055118110236227" header="0.31496062992125984" footer="0.31496062992125984"/>
  <pageSetup paperSize="9" fitToHeight="0" pageOrder="overThenDown" orientation="landscape" r:id="rId1"/>
  <headerFooter alignWithMargins="0">
    <oddHeader>&amp;C&amp;"ＭＳ ゴシック,太字"&amp;16欠陥除去数(レビュー指摘およびバグ検出)目標／実績&amp;R&amp;10&amp;D</oddHeader>
    <oddFooter>&amp;L&amp;10&amp;F&amp;C&amp;10&amp;P/&amp;N&amp;R&amp;10&amp;A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Line="0" autoPict="0" macro="[0]!ToEntry">
                <anchor moveWithCells="1" sizeWithCells="1">
                  <from>
                    <xdr:col>0</xdr:col>
                    <xdr:colOff>85725</xdr:colOff>
                    <xdr:row>0</xdr:row>
                    <xdr:rowOff>47625</xdr:rowOff>
                  </from>
                  <to>
                    <xdr:col>0</xdr:col>
                    <xdr:colOff>866775</xdr:colOff>
                    <xdr:row>0</xdr:row>
                    <xdr:rowOff>457200</xdr:rowOff>
                  </to>
                </anchor>
              </controlPr>
            </control>
          </mc:Choice>
        </mc:AlternateContent>
        <mc:AlternateContent xmlns:mc="http://schemas.openxmlformats.org/markup-compatibility/2006">
          <mc:Choice Requires="x14">
            <control shapeId="9220" r:id="rId5" name="Button 4">
              <controlPr defaultSize="0" print="0" autoFill="0" autoLine="0" autoPict="0" macro="[0]!ToQagraph">
                <anchor moveWithCells="1" sizeWithCells="1">
                  <from>
                    <xdr:col>0</xdr:col>
                    <xdr:colOff>876300</xdr:colOff>
                    <xdr:row>0</xdr:row>
                    <xdr:rowOff>47625</xdr:rowOff>
                  </from>
                  <to>
                    <xdr:col>1</xdr:col>
                    <xdr:colOff>323850</xdr:colOff>
                    <xdr:row>0</xdr:row>
                    <xdr:rowOff>457200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8"/>
  <sheetViews>
    <sheetView showGridLines="0" workbookViewId="0">
      <selection activeCell="B2" sqref="B2"/>
    </sheetView>
  </sheetViews>
  <sheetFormatPr defaultRowHeight="14.25"/>
  <cols>
    <col min="1" max="1" width="9.5" style="113" bestFit="1" customWidth="1"/>
    <col min="2" max="9" width="10.625" customWidth="1"/>
  </cols>
  <sheetData>
    <row r="1" spans="1:9" s="113" customFormat="1" ht="54.95" customHeight="1">
      <c r="A1" s="134"/>
      <c r="B1" s="135" t="s">
        <v>165</v>
      </c>
      <c r="C1" s="135" t="s">
        <v>25</v>
      </c>
      <c r="D1" s="135" t="s">
        <v>26</v>
      </c>
      <c r="E1" s="135" t="s">
        <v>27</v>
      </c>
      <c r="F1" s="135" t="s">
        <v>166</v>
      </c>
      <c r="G1" s="135" t="s">
        <v>28</v>
      </c>
      <c r="H1" s="135" t="s">
        <v>29</v>
      </c>
      <c r="I1" s="136" t="s">
        <v>30</v>
      </c>
    </row>
    <row r="2" spans="1:9">
      <c r="A2" s="137" t="s">
        <v>165</v>
      </c>
      <c r="B2" s="97"/>
      <c r="C2" s="97"/>
      <c r="D2" s="97"/>
      <c r="E2" s="97"/>
      <c r="F2" s="97"/>
      <c r="G2" s="97"/>
      <c r="H2" s="97"/>
      <c r="I2" s="138">
        <f>SUM($B$2:$H$2)</f>
        <v>0</v>
      </c>
    </row>
    <row r="3" spans="1:9">
      <c r="A3" s="137" t="s">
        <v>25</v>
      </c>
      <c r="B3" s="97"/>
      <c r="C3" s="97"/>
      <c r="D3" s="97"/>
      <c r="E3" s="97"/>
      <c r="F3" s="97"/>
      <c r="G3" s="97"/>
      <c r="H3" s="97"/>
      <c r="I3" s="138">
        <f>SUM($B$3:$H$3)</f>
        <v>0</v>
      </c>
    </row>
    <row r="4" spans="1:9">
      <c r="A4" s="137" t="s">
        <v>26</v>
      </c>
      <c r="B4" s="97"/>
      <c r="C4" s="97"/>
      <c r="D4" s="97"/>
      <c r="E4" s="97"/>
      <c r="F4" s="97"/>
      <c r="G4" s="97"/>
      <c r="H4" s="97"/>
      <c r="I4" s="138">
        <f>SUM($B$4:$H$4)</f>
        <v>0</v>
      </c>
    </row>
    <row r="5" spans="1:9">
      <c r="A5" s="137" t="s">
        <v>27</v>
      </c>
      <c r="B5" s="97"/>
      <c r="C5" s="97"/>
      <c r="D5" s="97"/>
      <c r="E5" s="97"/>
      <c r="F5" s="97"/>
      <c r="G5" s="97"/>
      <c r="H5" s="97"/>
      <c r="I5" s="138">
        <f>SUM($B$5:$H$5)</f>
        <v>0</v>
      </c>
    </row>
    <row r="6" spans="1:9">
      <c r="A6" s="137" t="s">
        <v>166</v>
      </c>
      <c r="B6" s="97"/>
      <c r="C6" s="97"/>
      <c r="D6" s="97"/>
      <c r="E6" s="97"/>
      <c r="F6" s="97"/>
      <c r="G6" s="97"/>
      <c r="H6" s="97"/>
      <c r="I6" s="138">
        <f>SUM($B$6:$H$6)</f>
        <v>0</v>
      </c>
    </row>
    <row r="7" spans="1:9">
      <c r="A7" s="137" t="s">
        <v>28</v>
      </c>
      <c r="B7" s="97"/>
      <c r="C7" s="97"/>
      <c r="D7" s="97"/>
      <c r="E7" s="97"/>
      <c r="F7" s="97"/>
      <c r="G7" s="97"/>
      <c r="H7" s="97"/>
      <c r="I7" s="138">
        <f>SUM($B$7:$H$7)</f>
        <v>0</v>
      </c>
    </row>
    <row r="8" spans="1:9" ht="15" thickBot="1">
      <c r="A8" s="139" t="s">
        <v>29</v>
      </c>
      <c r="B8" s="140"/>
      <c r="C8" s="140"/>
      <c r="D8" s="140"/>
      <c r="E8" s="140"/>
      <c r="F8" s="140"/>
      <c r="G8" s="140"/>
      <c r="H8" s="140"/>
      <c r="I8" s="141">
        <f>SUM($B$8:$H$8)</f>
        <v>0</v>
      </c>
    </row>
  </sheetData>
  <phoneticPr fontId="23"/>
  <printOptions horizontalCentered="1" verticalCentered="1"/>
  <pageMargins left="0.78740157480314965" right="0.78740157480314965" top="0.98425196850393704" bottom="0.98425196850393704" header="0.51181102362204722" footer="0.51181102362204722"/>
  <pageSetup paperSize="9" pageOrder="overThenDown" orientation="landscape" r:id="rId1"/>
  <headerFooter alignWithMargins="0">
    <oddHeader>&amp;R&amp;D &amp;T</oddHeader>
    <oddFooter>&amp;L&amp;F&amp;R&amp;A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Line="0" autoPict="0" macro="[0]!ToEntry">
                <anchor moveWithCells="1" sizeWithCells="1">
                  <from>
                    <xdr:col>0</xdr:col>
                    <xdr:colOff>85725</xdr:colOff>
                    <xdr:row>0</xdr:row>
                    <xdr:rowOff>47625</xdr:rowOff>
                  </from>
                  <to>
                    <xdr:col>1</xdr:col>
                    <xdr:colOff>142875</xdr:colOff>
                    <xdr:row>0</xdr:row>
                    <xdr:rowOff>457200</xdr:rowOff>
                  </to>
                </anchor>
              </controlPr>
            </control>
          </mc:Choice>
        </mc:AlternateContent>
        <mc:AlternateContent xmlns:mc="http://schemas.openxmlformats.org/markup-compatibility/2006">
          <mc:Choice Requires="x14">
            <control shapeId="10244" r:id="rId5" name="Button 4">
              <controlPr defaultSize="0" print="0" autoFill="0" autoLine="0" autoPict="0" macro="[0]!ToQagraph">
                <anchor moveWithCells="1" sizeWithCells="1">
                  <from>
                    <xdr:col>1</xdr:col>
                    <xdr:colOff>152400</xdr:colOff>
                    <xdr:row>0</xdr:row>
                    <xdr:rowOff>47625</xdr:rowOff>
                  </from>
                  <to>
                    <xdr:col>1</xdr:col>
                    <xdr:colOff>714375</xdr:colOff>
                    <xdr:row>0</xdr:row>
                    <xdr:rowOff>457200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
  <sheetViews>
    <sheetView workbookViewId="0">
      <selection activeCell="A32" sqref="A32"/>
    </sheetView>
  </sheetViews>
  <sheetFormatPr defaultRowHeight="14.25"/>
  <sheetData/>
  <phoneticPr fontId="23"/>
  <printOptions horizontalCentered="1"/>
  <pageMargins left="0" right="0" top="0.98425196850393704" bottom="0.59055118110236227" header="0.51181102362204722" footer="0.31496062992125984"/>
  <pageSetup paperSize="9" pageOrder="overThenDown" orientation="landscape" r:id="rId1"/>
  <headerFooter alignWithMargins="0">
    <oddHeader>&amp;R&amp;10&amp;D</oddHeader>
    <oddFooter>&amp;L&amp;10&amp;F&amp;C&amp;10&amp;P/&amp;N&amp;R&amp;10&amp;A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Button 5">
              <controlPr defaultSize="0" print="0" autoFill="0" autoLine="0" autoPict="0" macro="[0]!ToEntry">
                <anchor moveWithCells="1" sizeWithCells="1">
                  <from>
                    <xdr:col>0</xdr:col>
                    <xdr:colOff>123825</xdr:colOff>
                    <xdr:row>0</xdr:row>
                    <xdr:rowOff>85725</xdr:rowOff>
                  </from>
                  <to>
                    <xdr:col>1</xdr:col>
                    <xdr:colOff>219075</xdr:colOff>
                    <xdr:row>2</xdr:row>
                    <xdr:rowOff>133350</xdr:rowOff>
                  </to>
                </anchor>
              </controlPr>
            </control>
          </mc:Choice>
        </mc:AlternateContent>
        <mc:AlternateContent xmlns:mc="http://schemas.openxmlformats.org/markup-compatibility/2006">
          <mc:Choice Requires="x14">
            <control shapeId="11270" r:id="rId5" name="Button 6">
              <controlPr defaultSize="0" print="0" autoFill="0" autoLine="0" autoPict="0" macro="[0]!ToQawork">
                <anchor moveWithCells="1" sizeWithCells="1">
                  <from>
                    <xdr:col>1</xdr:col>
                    <xdr:colOff>228600</xdr:colOff>
                    <xdr:row>0</xdr:row>
                    <xdr:rowOff>85725</xdr:rowOff>
                  </from>
                  <to>
                    <xdr:col>2</xdr:col>
                    <xdr:colOff>104775</xdr:colOff>
                    <xdr:row>2</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5"/>
  <sheetViews>
    <sheetView workbookViewId="0"/>
  </sheetViews>
  <sheetFormatPr defaultRowHeight="14.25"/>
  <sheetData>
    <row r="1" spans="1:2">
      <c r="B1" t="s">
        <v>395</v>
      </c>
    </row>
    <row r="3" spans="1:2">
      <c r="A3" t="s">
        <v>399</v>
      </c>
      <c r="B3" t="s">
        <v>398</v>
      </c>
    </row>
    <row r="4" spans="1:2">
      <c r="A4" t="s">
        <v>396</v>
      </c>
    </row>
    <row r="5" spans="1:2">
      <c r="A5" t="s">
        <v>397</v>
      </c>
    </row>
  </sheetData>
  <phoneticPr fontId="2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X50"/>
  <sheetViews>
    <sheetView workbookViewId="0"/>
  </sheetViews>
  <sheetFormatPr defaultRowHeight="14.25"/>
  <cols>
    <col min="3" max="3" width="11.625" bestFit="1" customWidth="1"/>
  </cols>
  <sheetData>
    <row r="1" spans="1:8">
      <c r="A1" s="223" t="s">
        <v>384</v>
      </c>
      <c r="B1" s="224"/>
      <c r="C1" s="224"/>
      <c r="D1" s="225"/>
      <c r="E1" s="225"/>
      <c r="F1" s="224"/>
      <c r="G1" s="224"/>
      <c r="H1" s="224"/>
    </row>
    <row r="2" spans="1:8">
      <c r="A2" s="224"/>
      <c r="B2" s="224"/>
      <c r="C2" s="224"/>
      <c r="D2" s="225"/>
      <c r="E2" s="225"/>
      <c r="F2" s="224"/>
      <c r="G2" s="224"/>
      <c r="H2" s="224"/>
    </row>
    <row r="3" spans="1:8">
      <c r="A3" s="224"/>
      <c r="B3" s="224" t="s">
        <v>385</v>
      </c>
      <c r="C3" s="226"/>
      <c r="D3" s="225"/>
      <c r="E3" s="225"/>
      <c r="F3" s="224"/>
      <c r="G3" s="224"/>
      <c r="H3" s="224"/>
    </row>
    <row r="4" spans="1:8">
      <c r="A4" s="224"/>
      <c r="B4" s="224" t="s">
        <v>386</v>
      </c>
      <c r="C4" s="226"/>
      <c r="D4" s="226"/>
      <c r="E4" s="225"/>
      <c r="F4" s="224"/>
      <c r="G4" s="224"/>
      <c r="H4" s="224"/>
    </row>
    <row r="5" spans="1:8">
      <c r="A5" s="224"/>
      <c r="B5" s="224"/>
      <c r="C5" s="224"/>
      <c r="D5" s="225"/>
      <c r="E5" s="225"/>
      <c r="F5" s="224"/>
      <c r="G5" s="224"/>
      <c r="H5" s="224"/>
    </row>
    <row r="6" spans="1:8">
      <c r="A6" s="223" t="s">
        <v>387</v>
      </c>
      <c r="B6" s="224"/>
      <c r="C6" s="224"/>
      <c r="D6" s="225"/>
      <c r="E6" s="225"/>
      <c r="F6" s="224"/>
      <c r="G6" s="224"/>
      <c r="H6" s="224"/>
    </row>
    <row r="7" spans="1:8">
      <c r="A7" s="224"/>
      <c r="B7" s="224"/>
      <c r="C7" s="224"/>
      <c r="D7" s="225"/>
      <c r="E7" s="225"/>
      <c r="F7" s="224"/>
      <c r="G7" s="224"/>
      <c r="H7" s="224"/>
    </row>
    <row r="8" spans="1:8">
      <c r="A8" s="224"/>
      <c r="B8" s="224"/>
      <c r="C8" s="224"/>
      <c r="D8" s="253" t="s">
        <v>388</v>
      </c>
      <c r="E8" s="253"/>
      <c r="F8" s="253"/>
      <c r="G8" s="253"/>
      <c r="H8" s="253"/>
    </row>
    <row r="9" spans="1:8">
      <c r="A9" s="227" t="s">
        <v>389</v>
      </c>
      <c r="B9" s="227" t="s">
        <v>390</v>
      </c>
      <c r="C9" s="227" t="s">
        <v>391</v>
      </c>
      <c r="D9" s="227" t="s">
        <v>392</v>
      </c>
      <c r="E9" s="228" t="s">
        <v>313</v>
      </c>
      <c r="F9" s="228" t="s">
        <v>393</v>
      </c>
      <c r="G9" s="227" t="s">
        <v>212</v>
      </c>
      <c r="H9" s="227" t="s">
        <v>394</v>
      </c>
    </row>
    <row r="10" spans="1:8">
      <c r="A10" s="227"/>
      <c r="B10" s="227"/>
      <c r="C10" s="227"/>
      <c r="D10" s="233"/>
      <c r="E10" s="228"/>
      <c r="F10" s="229"/>
      <c r="G10" s="233"/>
      <c r="H10" s="233"/>
    </row>
    <row r="11" spans="1:8">
      <c r="A11" s="227"/>
      <c r="B11" s="227"/>
      <c r="C11" s="227"/>
      <c r="D11" s="233"/>
      <c r="E11" s="228"/>
      <c r="F11" s="228"/>
      <c r="G11" s="233"/>
      <c r="H11" s="233"/>
    </row>
    <row r="12" spans="1:8">
      <c r="A12" s="227"/>
      <c r="B12" s="227"/>
      <c r="C12" s="227"/>
      <c r="D12" s="233"/>
      <c r="E12" s="228"/>
      <c r="F12" s="228"/>
      <c r="G12" s="233"/>
      <c r="H12" s="233"/>
    </row>
    <row r="13" spans="1:8">
      <c r="A13" s="227"/>
      <c r="B13" s="227"/>
      <c r="C13" s="227"/>
      <c r="D13" s="233"/>
      <c r="E13" s="228"/>
      <c r="F13" s="228"/>
      <c r="G13" s="233"/>
      <c r="H13" s="233"/>
    </row>
    <row r="14" spans="1:8">
      <c r="A14" s="227"/>
      <c r="B14" s="227"/>
      <c r="C14" s="227"/>
      <c r="D14" s="233"/>
      <c r="E14" s="228"/>
      <c r="F14" s="228"/>
      <c r="G14" s="233"/>
      <c r="H14" s="233"/>
    </row>
    <row r="15" spans="1:8">
      <c r="A15" s="227"/>
      <c r="B15" s="227"/>
      <c r="C15" s="227"/>
      <c r="D15" s="233"/>
      <c r="E15" s="228"/>
      <c r="F15" s="228"/>
      <c r="G15" s="233"/>
      <c r="H15" s="233"/>
    </row>
    <row r="16" spans="1:8">
      <c r="A16" s="227"/>
      <c r="B16" s="227"/>
      <c r="C16" s="227"/>
      <c r="D16" s="233"/>
      <c r="E16" s="228"/>
      <c r="F16" s="228"/>
      <c r="G16" s="233"/>
      <c r="H16" s="233"/>
    </row>
    <row r="17" spans="1:30">
      <c r="A17" s="227"/>
      <c r="B17" s="227"/>
      <c r="C17" s="227"/>
      <c r="D17" s="233"/>
      <c r="E17" s="228"/>
      <c r="F17" s="228"/>
      <c r="G17" s="233"/>
      <c r="H17" s="233"/>
    </row>
    <row r="18" spans="1:30">
      <c r="A18" s="227"/>
      <c r="B18" s="227"/>
      <c r="C18" s="227"/>
      <c r="D18" s="233"/>
      <c r="E18" s="228"/>
      <c r="F18" s="228"/>
      <c r="G18" s="233"/>
      <c r="H18" s="233"/>
    </row>
    <row r="19" spans="1:30">
      <c r="A19" s="234"/>
    </row>
    <row r="22" spans="1:30">
      <c r="A22" s="224"/>
    </row>
    <row r="23" spans="1:30">
      <c r="A23" s="224"/>
    </row>
    <row r="24" spans="1:30">
      <c r="A24" s="224"/>
    </row>
    <row r="30" spans="1:30">
      <c r="AD30" s="232"/>
    </row>
    <row r="50" spans="50:50">
      <c r="AX50" s="232"/>
    </row>
  </sheetData>
  <mergeCells count="1">
    <mergeCell ref="D8:H8"/>
  </mergeCells>
  <phoneticPr fontId="23"/>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R43"/>
  <sheetViews>
    <sheetView showGridLines="0" zoomScale="75" workbookViewId="0">
      <pane xSplit="1" ySplit="3" topLeftCell="B4" activePane="bottomRight" state="frozen"/>
      <selection pane="topRight"/>
      <selection pane="bottomLeft"/>
      <selection pane="bottomRight" activeCell="C4" sqref="C4"/>
    </sheetView>
  </sheetViews>
  <sheetFormatPr defaultRowHeight="14.25"/>
  <cols>
    <col min="1" max="1" width="9.25" customWidth="1"/>
    <col min="2" max="2" width="9.25" style="68" customWidth="1"/>
    <col min="3" max="3" width="16.75" bestFit="1" customWidth="1"/>
    <col min="4" max="5" width="15.125" customWidth="1"/>
    <col min="6" max="6" width="12.125" bestFit="1" customWidth="1"/>
    <col min="7" max="7" width="17.25" bestFit="1" customWidth="1"/>
    <col min="11" max="11" width="16.75" bestFit="1" customWidth="1"/>
    <col min="12" max="12" width="19.125" bestFit="1" customWidth="1"/>
    <col min="13" max="13" width="20.5" bestFit="1" customWidth="1"/>
    <col min="14" max="14" width="12.75" bestFit="1" customWidth="1"/>
    <col min="15" max="15" width="10.25" bestFit="1" customWidth="1"/>
    <col min="16" max="16" width="13.125" style="68" bestFit="1" customWidth="1"/>
    <col min="17" max="18" width="10.25" style="68" bestFit="1" customWidth="1"/>
    <col min="19" max="19" width="3.625" customWidth="1"/>
  </cols>
  <sheetData>
    <row r="1" spans="1:18" ht="18" thickBot="1">
      <c r="A1" s="142" t="s">
        <v>167</v>
      </c>
      <c r="B1" s="143"/>
      <c r="C1" s="144"/>
      <c r="D1" s="144" t="s">
        <v>168</v>
      </c>
      <c r="E1" s="144"/>
      <c r="F1" s="144"/>
      <c r="G1" s="144"/>
      <c r="H1" s="144"/>
      <c r="I1" s="144"/>
      <c r="J1" s="144"/>
      <c r="K1" s="144"/>
      <c r="L1" s="144"/>
      <c r="M1" s="144"/>
      <c r="N1" s="144"/>
      <c r="O1" s="144"/>
      <c r="P1" s="145"/>
      <c r="Q1" s="145"/>
      <c r="R1" s="146"/>
    </row>
    <row r="2" spans="1:18">
      <c r="A2" s="147" t="s">
        <v>169</v>
      </c>
      <c r="B2" s="148"/>
      <c r="C2" s="149" t="s">
        <v>34</v>
      </c>
      <c r="D2" s="150" t="s">
        <v>35</v>
      </c>
      <c r="E2" s="150" t="s">
        <v>36</v>
      </c>
      <c r="F2" s="150" t="s">
        <v>37</v>
      </c>
      <c r="G2" s="150" t="s">
        <v>38</v>
      </c>
      <c r="H2" s="150" t="s">
        <v>39</v>
      </c>
      <c r="I2" s="150" t="s">
        <v>40</v>
      </c>
      <c r="J2" s="150" t="s">
        <v>41</v>
      </c>
      <c r="K2" s="150" t="s">
        <v>42</v>
      </c>
      <c r="L2" s="150" t="s">
        <v>43</v>
      </c>
      <c r="M2" s="150" t="s">
        <v>44</v>
      </c>
      <c r="N2" s="150" t="s">
        <v>45</v>
      </c>
      <c r="O2" s="150" t="s">
        <v>46</v>
      </c>
      <c r="P2" s="150" t="s">
        <v>47</v>
      </c>
      <c r="Q2" s="150" t="s">
        <v>48</v>
      </c>
      <c r="R2" s="151" t="s">
        <v>49</v>
      </c>
    </row>
    <row r="3" spans="1:18" ht="15" thickBot="1">
      <c r="A3" s="152" t="s">
        <v>170</v>
      </c>
      <c r="B3" s="153" t="s">
        <v>171</v>
      </c>
      <c r="C3" s="154" t="s">
        <v>172</v>
      </c>
      <c r="D3" s="155" t="s">
        <v>173</v>
      </c>
      <c r="E3" s="155" t="s">
        <v>174</v>
      </c>
      <c r="F3" s="155" t="s">
        <v>175</v>
      </c>
      <c r="G3" s="155" t="s">
        <v>176</v>
      </c>
      <c r="H3" s="155" t="s">
        <v>177</v>
      </c>
      <c r="I3" s="155" t="s">
        <v>178</v>
      </c>
      <c r="J3" s="155" t="s">
        <v>179</v>
      </c>
      <c r="K3" s="155" t="s">
        <v>180</v>
      </c>
      <c r="L3" s="155" t="s">
        <v>181</v>
      </c>
      <c r="M3" s="155" t="s">
        <v>50</v>
      </c>
      <c r="N3" s="155" t="s">
        <v>51</v>
      </c>
      <c r="O3" s="155" t="s">
        <v>182</v>
      </c>
      <c r="P3" s="155" t="s">
        <v>147</v>
      </c>
      <c r="Q3" s="155" t="s">
        <v>183</v>
      </c>
      <c r="R3" s="156" t="s">
        <v>184</v>
      </c>
    </row>
    <row r="4" spans="1:18" ht="15" thickTop="1">
      <c r="A4" s="157" t="s">
        <v>185</v>
      </c>
      <c r="B4" s="158" t="s">
        <v>186</v>
      </c>
      <c r="C4" s="159" t="s">
        <v>187</v>
      </c>
      <c r="D4" s="160" t="s">
        <v>400</v>
      </c>
      <c r="E4" s="160" t="s">
        <v>188</v>
      </c>
      <c r="F4" s="161" t="s">
        <v>189</v>
      </c>
      <c r="G4" s="160" t="s">
        <v>190</v>
      </c>
      <c r="H4" s="162" t="s">
        <v>191</v>
      </c>
      <c r="I4" s="162" t="s">
        <v>191</v>
      </c>
      <c r="J4" s="162" t="s">
        <v>192</v>
      </c>
      <c r="K4" s="160" t="s">
        <v>193</v>
      </c>
      <c r="L4" s="160" t="s">
        <v>194</v>
      </c>
      <c r="M4" s="160" t="s">
        <v>195</v>
      </c>
      <c r="N4" s="160" t="s">
        <v>196</v>
      </c>
      <c r="O4" s="160" t="s">
        <v>197</v>
      </c>
      <c r="P4" s="162" t="s">
        <v>52</v>
      </c>
      <c r="Q4" s="162" t="s">
        <v>198</v>
      </c>
      <c r="R4" s="163" t="s">
        <v>199</v>
      </c>
    </row>
    <row r="5" spans="1:18">
      <c r="A5" s="164"/>
      <c r="B5" s="165" t="s">
        <v>200</v>
      </c>
      <c r="C5" s="166" t="s">
        <v>165</v>
      </c>
      <c r="D5" s="167" t="s">
        <v>401</v>
      </c>
      <c r="E5" s="167" t="s">
        <v>201</v>
      </c>
      <c r="F5" s="168" t="s">
        <v>53</v>
      </c>
      <c r="G5" s="167" t="s">
        <v>202</v>
      </c>
      <c r="H5" s="169" t="s">
        <v>203</v>
      </c>
      <c r="I5" s="169" t="s">
        <v>203</v>
      </c>
      <c r="J5" s="169" t="s">
        <v>204</v>
      </c>
      <c r="K5" s="167" t="s">
        <v>205</v>
      </c>
      <c r="L5" s="167" t="s">
        <v>206</v>
      </c>
      <c r="M5" s="167" t="s">
        <v>207</v>
      </c>
      <c r="N5" s="167" t="s">
        <v>208</v>
      </c>
      <c r="O5" s="167" t="s">
        <v>209</v>
      </c>
      <c r="P5" s="169" t="s">
        <v>54</v>
      </c>
      <c r="Q5" s="169" t="s">
        <v>210</v>
      </c>
      <c r="R5" s="170" t="s">
        <v>211</v>
      </c>
    </row>
    <row r="6" spans="1:18">
      <c r="A6" s="164"/>
      <c r="B6" s="165" t="s">
        <v>212</v>
      </c>
      <c r="C6" s="166" t="s">
        <v>213</v>
      </c>
      <c r="D6" s="167" t="s">
        <v>402</v>
      </c>
      <c r="E6" s="167" t="s">
        <v>214</v>
      </c>
      <c r="F6" s="171" t="s">
        <v>55</v>
      </c>
      <c r="G6" s="167" t="s">
        <v>215</v>
      </c>
      <c r="H6" s="169" t="s">
        <v>216</v>
      </c>
      <c r="I6" s="169" t="s">
        <v>217</v>
      </c>
      <c r="J6" s="169" t="s">
        <v>218</v>
      </c>
      <c r="K6" s="167" t="s">
        <v>219</v>
      </c>
      <c r="L6" s="167" t="s">
        <v>220</v>
      </c>
      <c r="M6" s="167" t="s">
        <v>221</v>
      </c>
      <c r="N6" s="167" t="s">
        <v>222</v>
      </c>
      <c r="O6" s="167" t="s">
        <v>223</v>
      </c>
      <c r="P6" s="169" t="s">
        <v>224</v>
      </c>
      <c r="Q6" s="169" t="s">
        <v>225</v>
      </c>
      <c r="R6" s="170" t="s">
        <v>226</v>
      </c>
    </row>
    <row r="7" spans="1:18">
      <c r="A7" s="164"/>
      <c r="B7" s="165" t="s">
        <v>227</v>
      </c>
      <c r="C7" s="166" t="s">
        <v>228</v>
      </c>
      <c r="D7" s="167" t="s">
        <v>403</v>
      </c>
      <c r="E7" s="167" t="s">
        <v>229</v>
      </c>
      <c r="F7" s="169" t="s">
        <v>56</v>
      </c>
      <c r="G7" s="167" t="s">
        <v>230</v>
      </c>
      <c r="H7" s="169"/>
      <c r="I7" s="169"/>
      <c r="J7" s="169"/>
      <c r="K7" s="167" t="s">
        <v>231</v>
      </c>
      <c r="L7" s="167" t="s">
        <v>232</v>
      </c>
      <c r="M7" s="167" t="s">
        <v>233</v>
      </c>
      <c r="N7" s="167" t="s">
        <v>234</v>
      </c>
      <c r="O7" s="167" t="s">
        <v>235</v>
      </c>
      <c r="P7" s="169" t="s">
        <v>236</v>
      </c>
      <c r="Q7" s="169" t="s">
        <v>237</v>
      </c>
      <c r="R7" s="170" t="s">
        <v>238</v>
      </c>
    </row>
    <row r="8" spans="1:18">
      <c r="A8" s="164"/>
      <c r="B8" s="172" t="s">
        <v>239</v>
      </c>
      <c r="C8" s="166" t="s">
        <v>240</v>
      </c>
      <c r="D8" s="167" t="s">
        <v>404</v>
      </c>
      <c r="E8" s="167" t="s">
        <v>241</v>
      </c>
      <c r="F8" s="169" t="s">
        <v>242</v>
      </c>
      <c r="G8" s="167" t="s">
        <v>243</v>
      </c>
      <c r="H8" s="169"/>
      <c r="I8" s="169"/>
      <c r="J8" s="169"/>
      <c r="K8" s="167" t="s">
        <v>244</v>
      </c>
      <c r="L8" s="167" t="s">
        <v>245</v>
      </c>
      <c r="M8" s="167" t="s">
        <v>246</v>
      </c>
      <c r="N8" s="167" t="s">
        <v>247</v>
      </c>
      <c r="O8" s="167"/>
      <c r="P8" s="169"/>
      <c r="Q8" s="169"/>
      <c r="R8" s="170" t="s">
        <v>248</v>
      </c>
    </row>
    <row r="9" spans="1:18">
      <c r="A9" s="164"/>
      <c r="B9" s="172" t="s">
        <v>249</v>
      </c>
      <c r="C9" s="166" t="s">
        <v>166</v>
      </c>
      <c r="D9" s="167" t="s">
        <v>405</v>
      </c>
      <c r="E9" s="167" t="s">
        <v>250</v>
      </c>
      <c r="F9" s="169"/>
      <c r="G9" s="167" t="s">
        <v>251</v>
      </c>
      <c r="H9" s="169"/>
      <c r="I9" s="169"/>
      <c r="J9" s="169"/>
      <c r="K9" s="167" t="s">
        <v>252</v>
      </c>
      <c r="L9" s="167" t="s">
        <v>253</v>
      </c>
      <c r="M9" s="167" t="s">
        <v>236</v>
      </c>
      <c r="N9" s="167" t="s">
        <v>254</v>
      </c>
      <c r="O9" s="167"/>
      <c r="P9" s="169"/>
      <c r="Q9" s="169"/>
      <c r="R9" s="170" t="s">
        <v>255</v>
      </c>
    </row>
    <row r="10" spans="1:18">
      <c r="A10" s="164"/>
      <c r="B10" s="172" t="s">
        <v>256</v>
      </c>
      <c r="C10" s="166" t="s">
        <v>257</v>
      </c>
      <c r="D10" s="167" t="s">
        <v>443</v>
      </c>
      <c r="E10" s="167" t="s">
        <v>258</v>
      </c>
      <c r="F10" s="169"/>
      <c r="G10" s="167" t="s">
        <v>259</v>
      </c>
      <c r="H10" s="169"/>
      <c r="I10" s="169"/>
      <c r="J10" s="169"/>
      <c r="K10" s="167" t="s">
        <v>260</v>
      </c>
      <c r="L10" s="167" t="s">
        <v>261</v>
      </c>
      <c r="M10" s="167"/>
      <c r="N10" s="167" t="s">
        <v>262</v>
      </c>
      <c r="O10" s="167"/>
      <c r="P10" s="169"/>
      <c r="Q10" s="169"/>
      <c r="R10" s="170"/>
    </row>
    <row r="11" spans="1:18">
      <c r="A11" s="164"/>
      <c r="B11" s="172" t="s">
        <v>263</v>
      </c>
      <c r="C11" s="166" t="s">
        <v>264</v>
      </c>
      <c r="D11" s="167"/>
      <c r="E11" s="167"/>
      <c r="F11" s="169"/>
      <c r="G11" s="167" t="s">
        <v>265</v>
      </c>
      <c r="H11" s="169"/>
      <c r="I11" s="169"/>
      <c r="J11" s="169"/>
      <c r="K11" s="167" t="s">
        <v>57</v>
      </c>
      <c r="L11" s="167" t="s">
        <v>266</v>
      </c>
      <c r="M11" s="167"/>
      <c r="N11" s="167"/>
      <c r="O11" s="167"/>
      <c r="P11" s="169"/>
      <c r="Q11" s="169"/>
      <c r="R11" s="170"/>
    </row>
    <row r="12" spans="1:18">
      <c r="A12" s="164"/>
      <c r="B12" s="172" t="s">
        <v>267</v>
      </c>
      <c r="C12" s="166" t="s">
        <v>268</v>
      </c>
      <c r="D12" s="167"/>
      <c r="E12" s="167"/>
      <c r="F12" s="169"/>
      <c r="G12" s="167" t="s">
        <v>58</v>
      </c>
      <c r="H12" s="169"/>
      <c r="I12" s="169"/>
      <c r="J12" s="169"/>
      <c r="K12" s="167" t="s">
        <v>59</v>
      </c>
      <c r="L12" s="167" t="s">
        <v>269</v>
      </c>
      <c r="M12" s="167"/>
      <c r="N12" s="167"/>
      <c r="O12" s="167"/>
      <c r="P12" s="169"/>
      <c r="Q12" s="169"/>
      <c r="R12" s="170"/>
    </row>
    <row r="13" spans="1:18">
      <c r="A13" s="164"/>
      <c r="B13" s="173"/>
      <c r="C13" s="174"/>
      <c r="D13" s="167"/>
      <c r="E13" s="167"/>
      <c r="F13" s="169"/>
      <c r="G13" s="167" t="s">
        <v>270</v>
      </c>
      <c r="H13" s="169"/>
      <c r="I13" s="169"/>
      <c r="J13" s="169"/>
      <c r="K13" s="167" t="s">
        <v>271</v>
      </c>
      <c r="L13" s="167" t="s">
        <v>272</v>
      </c>
      <c r="M13" s="167"/>
      <c r="N13" s="167"/>
      <c r="O13" s="167"/>
      <c r="P13" s="169"/>
      <c r="Q13" s="169"/>
      <c r="R13" s="170"/>
    </row>
    <row r="14" spans="1:18">
      <c r="A14" s="164"/>
      <c r="B14" s="173"/>
      <c r="C14" s="174"/>
      <c r="D14" s="167"/>
      <c r="E14" s="167"/>
      <c r="F14" s="169"/>
      <c r="G14" s="167" t="s">
        <v>60</v>
      </c>
      <c r="H14" s="169"/>
      <c r="I14" s="169"/>
      <c r="J14" s="169"/>
      <c r="K14" s="167" t="s">
        <v>273</v>
      </c>
      <c r="L14" s="167" t="s">
        <v>274</v>
      </c>
      <c r="M14" s="167"/>
      <c r="N14" s="167"/>
      <c r="O14" s="167"/>
      <c r="P14" s="169"/>
      <c r="Q14" s="169"/>
      <c r="R14" s="170"/>
    </row>
    <row r="15" spans="1:18">
      <c r="A15" s="164"/>
      <c r="B15" s="173"/>
      <c r="C15" s="174"/>
      <c r="D15" s="167"/>
      <c r="E15" s="167"/>
      <c r="F15" s="169"/>
      <c r="G15" s="167" t="s">
        <v>236</v>
      </c>
      <c r="H15" s="169"/>
      <c r="I15" s="169"/>
      <c r="J15" s="169"/>
      <c r="K15" s="167" t="s">
        <v>61</v>
      </c>
      <c r="L15" s="167" t="s">
        <v>275</v>
      </c>
      <c r="M15" s="167"/>
      <c r="N15" s="167"/>
      <c r="O15" s="167"/>
      <c r="P15" s="169"/>
      <c r="Q15" s="169"/>
      <c r="R15" s="170"/>
    </row>
    <row r="16" spans="1:18">
      <c r="A16" s="164"/>
      <c r="B16" s="173"/>
      <c r="C16" s="174"/>
      <c r="D16" s="167"/>
      <c r="E16" s="167"/>
      <c r="F16" s="169"/>
      <c r="G16" s="167"/>
      <c r="H16" s="169"/>
      <c r="I16" s="169"/>
      <c r="J16" s="169"/>
      <c r="K16" s="167" t="s">
        <v>276</v>
      </c>
      <c r="L16" s="167" t="s">
        <v>277</v>
      </c>
      <c r="M16" s="167"/>
      <c r="N16" s="167"/>
      <c r="O16" s="167"/>
      <c r="P16" s="169"/>
      <c r="Q16" s="169"/>
      <c r="R16" s="170"/>
    </row>
    <row r="17" spans="1:18">
      <c r="A17" s="164"/>
      <c r="B17" s="173"/>
      <c r="C17" s="175"/>
      <c r="D17" s="167"/>
      <c r="E17" s="167"/>
      <c r="F17" s="169"/>
      <c r="G17" s="167"/>
      <c r="H17" s="169"/>
      <c r="I17" s="169"/>
      <c r="J17" s="169"/>
      <c r="K17" s="167" t="s">
        <v>278</v>
      </c>
      <c r="L17" s="167" t="s">
        <v>279</v>
      </c>
      <c r="M17" s="167"/>
      <c r="N17" s="167"/>
      <c r="O17" s="167"/>
      <c r="P17" s="169"/>
      <c r="Q17" s="169"/>
      <c r="R17" s="170"/>
    </row>
    <row r="18" spans="1:18" ht="15" thickBot="1">
      <c r="A18" s="164"/>
      <c r="B18" s="176"/>
      <c r="C18" s="177"/>
      <c r="D18" s="167"/>
      <c r="E18" s="167"/>
      <c r="F18" s="169"/>
      <c r="G18" s="167"/>
      <c r="H18" s="169"/>
      <c r="I18" s="169"/>
      <c r="J18" s="169"/>
      <c r="K18" s="167" t="s">
        <v>280</v>
      </c>
      <c r="L18" s="167" t="s">
        <v>281</v>
      </c>
      <c r="M18" s="167"/>
      <c r="N18" s="167"/>
      <c r="O18" s="167"/>
      <c r="P18" s="169"/>
      <c r="Q18" s="169"/>
      <c r="R18" s="170"/>
    </row>
    <row r="19" spans="1:18">
      <c r="A19" s="164"/>
      <c r="B19" s="178"/>
      <c r="C19" s="179"/>
      <c r="D19" s="167"/>
      <c r="E19" s="167"/>
      <c r="F19" s="169"/>
      <c r="G19" s="167"/>
      <c r="H19" s="169"/>
      <c r="I19" s="169"/>
      <c r="J19" s="169"/>
      <c r="K19" s="167" t="s">
        <v>282</v>
      </c>
      <c r="L19" s="167" t="s">
        <v>283</v>
      </c>
      <c r="M19" s="167"/>
      <c r="N19" s="167"/>
      <c r="O19" s="167"/>
      <c r="P19" s="169"/>
      <c r="Q19" s="169"/>
      <c r="R19" s="170"/>
    </row>
    <row r="20" spans="1:18">
      <c r="A20" s="180"/>
      <c r="B20" s="254" t="s">
        <v>284</v>
      </c>
      <c r="C20" s="255"/>
      <c r="D20" s="167"/>
      <c r="E20" s="167"/>
      <c r="F20" s="169"/>
      <c r="G20" s="167"/>
      <c r="H20" s="169"/>
      <c r="I20" s="169"/>
      <c r="J20" s="169"/>
      <c r="K20" s="167" t="s">
        <v>285</v>
      </c>
      <c r="L20" s="167" t="s">
        <v>286</v>
      </c>
      <c r="M20" s="167"/>
      <c r="N20" s="167"/>
      <c r="O20" s="167"/>
      <c r="P20" s="169"/>
      <c r="Q20" s="169"/>
      <c r="R20" s="170"/>
    </row>
    <row r="21" spans="1:18">
      <c r="A21" s="180"/>
      <c r="B21" s="256">
        <v>4</v>
      </c>
      <c r="C21" s="255"/>
      <c r="D21" s="167"/>
      <c r="E21" s="167"/>
      <c r="F21" s="169"/>
      <c r="G21" s="167"/>
      <c r="H21" s="169"/>
      <c r="I21" s="169"/>
      <c r="J21" s="169"/>
      <c r="K21" s="167" t="s">
        <v>287</v>
      </c>
      <c r="L21" s="167"/>
      <c r="M21" s="167"/>
      <c r="N21" s="167"/>
      <c r="O21" s="167"/>
      <c r="P21" s="169"/>
      <c r="Q21" s="169"/>
      <c r="R21" s="170"/>
    </row>
    <row r="22" spans="1:18">
      <c r="A22" s="164"/>
      <c r="B22" s="181"/>
      <c r="C22" s="182"/>
      <c r="D22" s="167"/>
      <c r="E22" s="167"/>
      <c r="F22" s="169"/>
      <c r="G22" s="167"/>
      <c r="H22" s="169"/>
      <c r="I22" s="169"/>
      <c r="J22" s="169"/>
      <c r="K22" s="167" t="s">
        <v>288</v>
      </c>
      <c r="L22" s="167"/>
      <c r="M22" s="167"/>
      <c r="N22" s="167"/>
      <c r="O22" s="167"/>
      <c r="P22" s="169"/>
      <c r="Q22" s="169"/>
      <c r="R22" s="170"/>
    </row>
    <row r="23" spans="1:18">
      <c r="A23" s="164"/>
      <c r="B23" s="183"/>
      <c r="C23" s="184" t="s">
        <v>289</v>
      </c>
      <c r="D23" s="167"/>
      <c r="E23" s="167"/>
      <c r="F23" s="169"/>
      <c r="G23" s="167"/>
      <c r="H23" s="169"/>
      <c r="I23" s="169"/>
      <c r="J23" s="169"/>
      <c r="K23" s="167" t="s">
        <v>290</v>
      </c>
      <c r="L23" s="167"/>
      <c r="M23" s="167"/>
      <c r="N23" s="167"/>
      <c r="O23" s="167"/>
      <c r="P23" s="169"/>
      <c r="Q23" s="169"/>
      <c r="R23" s="170"/>
    </row>
    <row r="24" spans="1:18">
      <c r="A24" s="164"/>
      <c r="B24" s="181"/>
      <c r="C24" s="184"/>
      <c r="D24" s="167"/>
      <c r="E24" s="167"/>
      <c r="F24" s="169"/>
      <c r="G24" s="167"/>
      <c r="H24" s="169"/>
      <c r="I24" s="169"/>
      <c r="J24" s="169"/>
      <c r="K24" s="167" t="s">
        <v>291</v>
      </c>
      <c r="L24" s="167"/>
      <c r="M24" s="167"/>
      <c r="N24" s="167"/>
      <c r="O24" s="167"/>
      <c r="P24" s="169"/>
      <c r="Q24" s="169"/>
      <c r="R24" s="170"/>
    </row>
    <row r="25" spans="1:18">
      <c r="A25" s="164"/>
      <c r="B25" s="185"/>
      <c r="C25" s="182" t="s">
        <v>292</v>
      </c>
      <c r="D25" s="167"/>
      <c r="E25" s="167"/>
      <c r="F25" s="169"/>
      <c r="G25" s="167"/>
      <c r="H25" s="169"/>
      <c r="I25" s="169"/>
      <c r="J25" s="169"/>
      <c r="K25" s="167" t="s">
        <v>293</v>
      </c>
      <c r="L25" s="167"/>
      <c r="M25" s="167"/>
      <c r="N25" s="167"/>
      <c r="O25" s="167"/>
      <c r="P25" s="169"/>
      <c r="Q25" s="169"/>
      <c r="R25" s="170"/>
    </row>
    <row r="26" spans="1:18">
      <c r="A26" s="164"/>
      <c r="B26" s="181"/>
      <c r="C26" s="182"/>
      <c r="D26" s="167"/>
      <c r="E26" s="167"/>
      <c r="F26" s="169"/>
      <c r="G26" s="167"/>
      <c r="H26" s="169"/>
      <c r="I26" s="169"/>
      <c r="J26" s="169"/>
      <c r="K26" s="167" t="s">
        <v>62</v>
      </c>
      <c r="L26" s="167"/>
      <c r="M26" s="167"/>
      <c r="N26" s="167"/>
      <c r="O26" s="167"/>
      <c r="P26" s="169"/>
      <c r="Q26" s="169"/>
      <c r="R26" s="170"/>
    </row>
    <row r="27" spans="1:18">
      <c r="A27" s="164"/>
      <c r="B27" s="181"/>
      <c r="C27" s="182"/>
      <c r="D27" s="167"/>
      <c r="E27" s="167"/>
      <c r="F27" s="169"/>
      <c r="G27" s="167"/>
      <c r="H27" s="169"/>
      <c r="I27" s="169"/>
      <c r="J27" s="169"/>
      <c r="K27" s="167" t="s">
        <v>294</v>
      </c>
      <c r="L27" s="167"/>
      <c r="M27" s="167"/>
      <c r="N27" s="167"/>
      <c r="O27" s="167"/>
      <c r="P27" s="169"/>
      <c r="Q27" s="169"/>
      <c r="R27" s="170"/>
    </row>
    <row r="28" spans="1:18">
      <c r="A28" s="164"/>
      <c r="B28" s="181"/>
      <c r="C28" s="182"/>
      <c r="D28" s="167"/>
      <c r="E28" s="167"/>
      <c r="F28" s="169"/>
      <c r="G28" s="167"/>
      <c r="H28" s="169"/>
      <c r="I28" s="169"/>
      <c r="J28" s="169"/>
      <c r="K28" s="167" t="s">
        <v>63</v>
      </c>
      <c r="L28" s="167"/>
      <c r="M28" s="167"/>
      <c r="N28" s="167"/>
      <c r="O28" s="167"/>
      <c r="P28" s="169"/>
      <c r="Q28" s="169"/>
      <c r="R28" s="170"/>
    </row>
    <row r="29" spans="1:18">
      <c r="A29" s="164"/>
      <c r="B29" s="181"/>
      <c r="C29" s="182"/>
      <c r="D29" s="167"/>
      <c r="E29" s="167"/>
      <c r="F29" s="169"/>
      <c r="G29" s="167"/>
      <c r="H29" s="169"/>
      <c r="I29" s="169"/>
      <c r="J29" s="169"/>
      <c r="K29" s="167" t="s">
        <v>235</v>
      </c>
      <c r="L29" s="167"/>
      <c r="M29" s="167"/>
      <c r="N29" s="167"/>
      <c r="O29" s="167"/>
      <c r="P29" s="169"/>
      <c r="Q29" s="169"/>
      <c r="R29" s="170"/>
    </row>
    <row r="30" spans="1:18">
      <c r="A30" s="164"/>
      <c r="B30" s="181"/>
      <c r="C30" s="182"/>
      <c r="D30" s="167"/>
      <c r="E30" s="167"/>
      <c r="F30" s="169"/>
      <c r="G30" s="167"/>
      <c r="H30" s="169"/>
      <c r="I30" s="169"/>
      <c r="J30" s="169"/>
      <c r="K30" s="167"/>
      <c r="L30" s="167"/>
      <c r="M30" s="167"/>
      <c r="N30" s="167"/>
      <c r="O30" s="167"/>
      <c r="P30" s="169"/>
      <c r="Q30" s="169"/>
      <c r="R30" s="170"/>
    </row>
    <row r="31" spans="1:18">
      <c r="A31" s="164"/>
      <c r="B31" s="181"/>
      <c r="C31" s="182"/>
      <c r="D31" s="167"/>
      <c r="E31" s="167"/>
      <c r="F31" s="169"/>
      <c r="G31" s="167"/>
      <c r="H31" s="169"/>
      <c r="I31" s="169"/>
      <c r="J31" s="169"/>
      <c r="K31" s="167"/>
      <c r="L31" s="167"/>
      <c r="M31" s="167"/>
      <c r="N31" s="167"/>
      <c r="O31" s="167"/>
      <c r="P31" s="169"/>
      <c r="Q31" s="169"/>
      <c r="R31" s="170"/>
    </row>
    <row r="32" spans="1:18">
      <c r="A32" s="164"/>
      <c r="B32" s="181"/>
      <c r="C32" s="182"/>
      <c r="D32" s="186"/>
      <c r="E32" s="186"/>
      <c r="F32" s="187"/>
      <c r="G32" s="186"/>
      <c r="H32" s="169"/>
      <c r="I32" s="169"/>
      <c r="J32" s="169"/>
      <c r="K32" s="167"/>
      <c r="L32" s="167"/>
      <c r="M32" s="167"/>
      <c r="N32" s="167"/>
      <c r="O32" s="167"/>
      <c r="P32" s="169"/>
      <c r="Q32" s="169"/>
      <c r="R32" s="170"/>
    </row>
    <row r="33" spans="1:18">
      <c r="A33" s="164"/>
      <c r="B33" s="181"/>
      <c r="C33" s="182"/>
      <c r="D33" s="186"/>
      <c r="E33" s="186"/>
      <c r="F33" s="187"/>
      <c r="G33" s="186"/>
      <c r="H33" s="169"/>
      <c r="I33" s="169"/>
      <c r="J33" s="169"/>
      <c r="K33" s="167"/>
      <c r="L33" s="167"/>
      <c r="M33" s="167"/>
      <c r="N33" s="167"/>
      <c r="O33" s="167"/>
      <c r="P33" s="169"/>
      <c r="Q33" s="169"/>
      <c r="R33" s="170"/>
    </row>
    <row r="34" spans="1:18">
      <c r="A34" s="164"/>
      <c r="B34" s="181"/>
      <c r="C34" s="182"/>
      <c r="D34" s="186"/>
      <c r="E34" s="186"/>
      <c r="F34" s="187"/>
      <c r="G34" s="186"/>
      <c r="H34" s="169"/>
      <c r="I34" s="169"/>
      <c r="J34" s="169"/>
      <c r="K34" s="167"/>
      <c r="L34" s="167"/>
      <c r="M34" s="167"/>
      <c r="N34" s="167"/>
      <c r="O34" s="167"/>
      <c r="P34" s="169"/>
      <c r="Q34" s="169"/>
      <c r="R34" s="170"/>
    </row>
    <row r="35" spans="1:18">
      <c r="A35" s="164"/>
      <c r="B35" s="181"/>
      <c r="C35" s="182"/>
      <c r="D35" s="186"/>
      <c r="E35" s="186"/>
      <c r="F35" s="187"/>
      <c r="G35" s="186"/>
      <c r="H35" s="169"/>
      <c r="I35" s="169"/>
      <c r="J35" s="169"/>
      <c r="K35" s="167"/>
      <c r="L35" s="167"/>
      <c r="M35" s="167"/>
      <c r="N35" s="167"/>
      <c r="O35" s="167"/>
      <c r="P35" s="169"/>
      <c r="Q35" s="169"/>
      <c r="R35" s="170"/>
    </row>
    <row r="36" spans="1:18">
      <c r="A36" s="164"/>
      <c r="B36" s="181"/>
      <c r="C36" s="182"/>
      <c r="D36" s="186"/>
      <c r="E36" s="186"/>
      <c r="F36" s="187"/>
      <c r="G36" s="186"/>
      <c r="H36" s="169"/>
      <c r="I36" s="169"/>
      <c r="J36" s="169"/>
      <c r="K36" s="167"/>
      <c r="L36" s="167"/>
      <c r="M36" s="167"/>
      <c r="N36" s="167"/>
      <c r="O36" s="167"/>
      <c r="P36" s="169"/>
      <c r="Q36" s="169"/>
      <c r="R36" s="170"/>
    </row>
    <row r="37" spans="1:18">
      <c r="A37" s="164"/>
      <c r="B37" s="181"/>
      <c r="C37" s="182"/>
      <c r="D37" s="186"/>
      <c r="E37" s="186"/>
      <c r="F37" s="187"/>
      <c r="G37" s="186"/>
      <c r="H37" s="169"/>
      <c r="I37" s="169"/>
      <c r="J37" s="169"/>
      <c r="K37" s="167"/>
      <c r="L37" s="167"/>
      <c r="M37" s="167"/>
      <c r="N37" s="167"/>
      <c r="O37" s="167"/>
      <c r="P37" s="169"/>
      <c r="Q37" s="169"/>
      <c r="R37" s="170"/>
    </row>
    <row r="38" spans="1:18">
      <c r="A38" s="164"/>
      <c r="B38" s="181"/>
      <c r="C38" s="182"/>
      <c r="D38" s="186"/>
      <c r="E38" s="186"/>
      <c r="F38" s="187"/>
      <c r="G38" s="186"/>
      <c r="H38" s="169"/>
      <c r="I38" s="169"/>
      <c r="J38" s="169"/>
      <c r="K38" s="167"/>
      <c r="L38" s="167"/>
      <c r="M38" s="167"/>
      <c r="N38" s="167"/>
      <c r="O38" s="167"/>
      <c r="P38" s="169"/>
      <c r="Q38" s="169"/>
      <c r="R38" s="170"/>
    </row>
    <row r="39" spans="1:18">
      <c r="A39" s="164"/>
      <c r="B39" s="181"/>
      <c r="C39" s="182"/>
      <c r="D39" s="186"/>
      <c r="E39" s="186"/>
      <c r="F39" s="187"/>
      <c r="G39" s="186"/>
      <c r="H39" s="169"/>
      <c r="I39" s="169"/>
      <c r="J39" s="169"/>
      <c r="K39" s="167"/>
      <c r="L39" s="167"/>
      <c r="M39" s="167"/>
      <c r="N39" s="167"/>
      <c r="O39" s="167"/>
      <c r="P39" s="169"/>
      <c r="Q39" s="169"/>
      <c r="R39" s="170"/>
    </row>
    <row r="40" spans="1:18">
      <c r="A40" s="164"/>
      <c r="B40" s="181"/>
      <c r="C40" s="182"/>
      <c r="D40" s="167"/>
      <c r="E40" s="167"/>
      <c r="F40" s="169"/>
      <c r="G40" s="167"/>
      <c r="H40" s="169"/>
      <c r="I40" s="169"/>
      <c r="J40" s="169"/>
      <c r="K40" s="167"/>
      <c r="L40" s="167"/>
      <c r="M40" s="167"/>
      <c r="N40" s="167"/>
      <c r="O40" s="167"/>
      <c r="P40" s="169"/>
      <c r="Q40" s="169"/>
      <c r="R40" s="170"/>
    </row>
    <row r="41" spans="1:18">
      <c r="A41" s="104"/>
      <c r="B41" s="67"/>
      <c r="C41" s="188"/>
      <c r="D41" s="104"/>
      <c r="E41" s="104"/>
      <c r="F41" s="67"/>
      <c r="G41" s="104"/>
      <c r="H41" s="189"/>
      <c r="I41" s="189"/>
      <c r="J41" s="189"/>
      <c r="K41" s="190"/>
      <c r="L41" s="190"/>
      <c r="M41" s="190"/>
      <c r="N41" s="190"/>
      <c r="O41" s="190"/>
      <c r="P41" s="189"/>
      <c r="Q41" s="189"/>
      <c r="R41" s="189"/>
    </row>
    <row r="42" spans="1:18">
      <c r="A42" s="191" t="s">
        <v>295</v>
      </c>
    </row>
    <row r="43" spans="1:18">
      <c r="A43" s="191" t="s">
        <v>296</v>
      </c>
    </row>
  </sheetData>
  <mergeCells count="2">
    <mergeCell ref="B20:C20"/>
    <mergeCell ref="B21:C21"/>
  </mergeCells>
  <phoneticPr fontId="23"/>
  <printOptions horizontalCentered="1"/>
  <pageMargins left="0" right="0" top="0.59055118110236227" bottom="0.59055118110236227" header="0.31496062992125984" footer="0.31496062992125984"/>
  <pageSetup paperSize="9" scale="57" fitToHeight="0" pageOrder="overThenDown" orientation="landscape" r:id="rId1"/>
  <headerFooter alignWithMargins="0">
    <oddHeader>&amp;R&amp;10&amp;D</oddHeader>
    <oddFooter>&amp;L&amp;10&amp;F&amp;C&amp;10&amp;P/&amp;N&amp;R&amp;10&amp;A</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BZ65"/>
  <sheetViews>
    <sheetView showGridLines="0" topLeftCell="A2" zoomScale="80" workbookViewId="0">
      <pane xSplit="1" ySplit="3" topLeftCell="B5" activePane="bottomRight" state="frozen"/>
      <selection pane="topRight"/>
      <selection pane="bottomLeft"/>
      <selection pane="bottomRight"/>
    </sheetView>
  </sheetViews>
  <sheetFormatPr defaultRowHeight="14.25"/>
  <cols>
    <col min="1" max="1" width="9.25" customWidth="1"/>
    <col min="2" max="3" width="8.625" customWidth="1"/>
    <col min="4" max="4" width="25.625" customWidth="1"/>
    <col min="5" max="5" width="3.625" style="198" customWidth="1"/>
    <col min="8" max="8" width="25.625" customWidth="1"/>
    <col min="9" max="9" width="3.625" customWidth="1"/>
    <col min="12" max="12" width="25.625" customWidth="1"/>
    <col min="13" max="13" width="4.625" customWidth="1"/>
    <col min="14" max="52" width="3.625" customWidth="1"/>
  </cols>
  <sheetData>
    <row r="1" spans="1:78" hidden="1">
      <c r="A1" s="68" t="s">
        <v>64</v>
      </c>
      <c r="B1" s="68" t="s">
        <v>65</v>
      </c>
      <c r="C1" s="68" t="s">
        <v>66</v>
      </c>
      <c r="D1" s="68" t="s">
        <v>67</v>
      </c>
      <c r="E1" s="192" t="s">
        <v>68</v>
      </c>
      <c r="F1" s="68" t="s">
        <v>69</v>
      </c>
      <c r="G1" s="68" t="s">
        <v>70</v>
      </c>
      <c r="H1" s="68" t="s">
        <v>71</v>
      </c>
      <c r="I1" s="68" t="s">
        <v>72</v>
      </c>
      <c r="J1" s="68" t="s">
        <v>73</v>
      </c>
      <c r="K1" s="68" t="s">
        <v>74</v>
      </c>
      <c r="L1" s="68" t="s">
        <v>75</v>
      </c>
      <c r="M1" s="68" t="s">
        <v>76</v>
      </c>
      <c r="N1" s="68" t="s">
        <v>77</v>
      </c>
      <c r="O1" s="68" t="s">
        <v>78</v>
      </c>
      <c r="P1" s="68" t="s">
        <v>79</v>
      </c>
      <c r="Q1" s="68" t="s">
        <v>80</v>
      </c>
      <c r="R1" s="68" t="s">
        <v>81</v>
      </c>
      <c r="S1" s="68" t="s">
        <v>82</v>
      </c>
      <c r="T1" s="68" t="s">
        <v>83</v>
      </c>
      <c r="U1" s="68" t="s">
        <v>84</v>
      </c>
      <c r="V1" s="68" t="s">
        <v>85</v>
      </c>
      <c r="W1" s="68" t="s">
        <v>86</v>
      </c>
      <c r="X1" s="68" t="s">
        <v>87</v>
      </c>
      <c r="Y1" s="68" t="s">
        <v>88</v>
      </c>
      <c r="Z1" s="68" t="s">
        <v>89</v>
      </c>
      <c r="AA1" s="68" t="s">
        <v>90</v>
      </c>
      <c r="AB1" s="68" t="s">
        <v>91</v>
      </c>
      <c r="AC1" s="68" t="s">
        <v>92</v>
      </c>
      <c r="AD1" s="68" t="s">
        <v>93</v>
      </c>
      <c r="AE1" s="68" t="s">
        <v>94</v>
      </c>
      <c r="AF1" s="68" t="s">
        <v>95</v>
      </c>
      <c r="AG1" s="68" t="s">
        <v>96</v>
      </c>
      <c r="AH1" s="68" t="s">
        <v>97</v>
      </c>
      <c r="AI1" s="68" t="s">
        <v>98</v>
      </c>
      <c r="AJ1" s="68" t="s">
        <v>99</v>
      </c>
      <c r="AK1" s="68" t="s">
        <v>100</v>
      </c>
      <c r="AL1" s="68" t="s">
        <v>101</v>
      </c>
      <c r="AM1" s="68" t="s">
        <v>102</v>
      </c>
      <c r="AN1" s="68" t="s">
        <v>297</v>
      </c>
      <c r="AO1" s="68" t="s">
        <v>298</v>
      </c>
      <c r="AP1" s="68" t="s">
        <v>299</v>
      </c>
      <c r="AQ1" s="68" t="s">
        <v>300</v>
      </c>
      <c r="AR1" s="68" t="s">
        <v>301</v>
      </c>
      <c r="AS1" s="68" t="s">
        <v>302</v>
      </c>
      <c r="AT1" s="68" t="s">
        <v>303</v>
      </c>
      <c r="AU1" s="68" t="s">
        <v>304</v>
      </c>
      <c r="AV1" s="68" t="s">
        <v>305</v>
      </c>
      <c r="AW1" s="68" t="s">
        <v>306</v>
      </c>
      <c r="AX1" s="68" t="s">
        <v>307</v>
      </c>
      <c r="AY1" s="68" t="s">
        <v>308</v>
      </c>
      <c r="AZ1" s="68" t="s">
        <v>309</v>
      </c>
      <c r="BA1" s="68" t="s">
        <v>310</v>
      </c>
      <c r="BB1" s="68" t="s">
        <v>311</v>
      </c>
      <c r="BC1" s="68" t="s">
        <v>312</v>
      </c>
      <c r="BD1" s="68" t="s">
        <v>313</v>
      </c>
      <c r="BE1" s="68" t="s">
        <v>314</v>
      </c>
      <c r="BF1" s="68" t="s">
        <v>315</v>
      </c>
      <c r="BG1" s="68" t="s">
        <v>316</v>
      </c>
      <c r="BH1" s="68" t="s">
        <v>317</v>
      </c>
      <c r="BI1" s="68" t="s">
        <v>318</v>
      </c>
      <c r="BJ1" s="68" t="s">
        <v>319</v>
      </c>
      <c r="BK1" s="68" t="s">
        <v>320</v>
      </c>
      <c r="BL1" s="68" t="s">
        <v>321</v>
      </c>
      <c r="BM1" s="68" t="s">
        <v>322</v>
      </c>
      <c r="BN1" s="68" t="s">
        <v>323</v>
      </c>
      <c r="BO1" s="68" t="s">
        <v>324</v>
      </c>
      <c r="BP1" s="68" t="s">
        <v>325</v>
      </c>
      <c r="BQ1" s="68" t="s">
        <v>326</v>
      </c>
      <c r="BR1" s="68" t="s">
        <v>327</v>
      </c>
      <c r="BS1" s="68" t="s">
        <v>328</v>
      </c>
      <c r="BT1" s="68" t="s">
        <v>329</v>
      </c>
      <c r="BU1" s="68" t="s">
        <v>330</v>
      </c>
      <c r="BV1" s="68" t="s">
        <v>331</v>
      </c>
      <c r="BW1" s="68" t="s">
        <v>332</v>
      </c>
      <c r="BX1" s="68" t="s">
        <v>333</v>
      </c>
      <c r="BY1" s="68" t="s">
        <v>334</v>
      </c>
      <c r="BZ1" s="68" t="s">
        <v>335</v>
      </c>
    </row>
    <row r="2" spans="1:78" ht="18" thickBot="1">
      <c r="A2" s="193" t="s">
        <v>336</v>
      </c>
      <c r="B2" s="194"/>
      <c r="C2" s="194"/>
      <c r="D2" s="194"/>
      <c r="E2" s="195"/>
      <c r="F2" s="194"/>
      <c r="G2" s="194"/>
      <c r="H2" s="194"/>
      <c r="I2" s="194"/>
      <c r="J2" s="194"/>
      <c r="K2" s="194"/>
      <c r="L2" s="194"/>
    </row>
    <row r="3" spans="1:78">
      <c r="A3" s="196"/>
      <c r="B3" s="263" t="s">
        <v>337</v>
      </c>
      <c r="C3" s="258"/>
      <c r="D3" s="259"/>
      <c r="E3" s="197"/>
      <c r="F3" s="257" t="s">
        <v>338</v>
      </c>
      <c r="G3" s="258"/>
      <c r="H3" s="259"/>
      <c r="I3" s="198"/>
      <c r="J3" s="260" t="s">
        <v>339</v>
      </c>
      <c r="K3" s="261"/>
      <c r="L3" s="262"/>
      <c r="M3" s="198"/>
      <c r="N3" s="199"/>
      <c r="O3" s="199"/>
      <c r="P3" s="199"/>
      <c r="Q3" s="199"/>
      <c r="R3" s="200"/>
      <c r="S3" s="200"/>
      <c r="T3" s="200"/>
      <c r="U3" s="200"/>
      <c r="V3" s="200"/>
      <c r="W3" s="200"/>
      <c r="X3" s="200"/>
      <c r="Y3" s="200"/>
      <c r="Z3" s="200"/>
      <c r="AA3" s="200"/>
      <c r="AB3" s="200"/>
      <c r="AC3" s="200"/>
      <c r="AD3" s="200"/>
      <c r="AE3" s="200"/>
      <c r="AF3" s="200"/>
      <c r="AG3" s="200"/>
      <c r="AH3" s="200"/>
      <c r="AI3" s="200"/>
      <c r="AJ3" s="200"/>
      <c r="AK3" s="200"/>
      <c r="AL3" s="200"/>
      <c r="AM3" s="200"/>
      <c r="AN3" s="200"/>
      <c r="AO3" s="200"/>
      <c r="AP3" s="200"/>
      <c r="AQ3" s="200"/>
      <c r="AR3" s="200"/>
      <c r="AS3" s="200"/>
      <c r="AT3" s="200"/>
      <c r="AU3" s="200"/>
      <c r="AV3" s="200"/>
      <c r="AW3" s="200"/>
      <c r="AX3" s="200"/>
      <c r="AY3" s="200"/>
      <c r="AZ3" s="200"/>
    </row>
    <row r="4" spans="1:78">
      <c r="A4" s="196"/>
      <c r="B4" s="201" t="s">
        <v>340</v>
      </c>
      <c r="C4" s="202" t="s">
        <v>341</v>
      </c>
      <c r="D4" s="203" t="s">
        <v>342</v>
      </c>
      <c r="E4" s="197"/>
      <c r="F4" s="201" t="s">
        <v>340</v>
      </c>
      <c r="G4" s="202" t="s">
        <v>341</v>
      </c>
      <c r="H4" s="203" t="s">
        <v>342</v>
      </c>
      <c r="I4" s="198"/>
      <c r="J4" s="201" t="s">
        <v>340</v>
      </c>
      <c r="K4" s="202" t="s">
        <v>341</v>
      </c>
      <c r="L4" s="203" t="s">
        <v>342</v>
      </c>
      <c r="M4" s="198"/>
      <c r="N4" s="204"/>
      <c r="O4" s="204"/>
      <c r="P4" s="204"/>
      <c r="Q4" s="204"/>
      <c r="R4" s="198"/>
      <c r="S4" s="198"/>
    </row>
    <row r="5" spans="1:78">
      <c r="A5" s="196"/>
      <c r="B5" s="205" t="s">
        <v>343</v>
      </c>
      <c r="C5" s="206"/>
      <c r="D5" s="207">
        <f t="shared" ref="D5:D49" si="0">TTL(B5)</f>
        <v>0</v>
      </c>
      <c r="E5" s="208"/>
      <c r="F5" s="205" t="s">
        <v>237</v>
      </c>
      <c r="G5" s="206" t="s">
        <v>103</v>
      </c>
      <c r="H5" s="207" t="str">
        <f t="shared" ref="H5:H18" si="1">TTL(F5)</f>
        <v>障害番号</v>
      </c>
      <c r="J5" s="205" t="s">
        <v>344</v>
      </c>
      <c r="K5" s="206" t="s">
        <v>103</v>
      </c>
      <c r="L5" s="207" t="str">
        <f t="shared" ref="L5:L22" si="2">TTL(J5)</f>
        <v>完了</v>
      </c>
      <c r="N5" s="68"/>
    </row>
    <row r="6" spans="1:78">
      <c r="A6" s="209"/>
      <c r="B6" s="205" t="s">
        <v>344</v>
      </c>
      <c r="C6" s="206"/>
      <c r="D6" s="207" t="str">
        <f t="shared" si="0"/>
        <v>完了</v>
      </c>
      <c r="E6" s="208"/>
      <c r="F6" s="205" t="s">
        <v>345</v>
      </c>
      <c r="G6" s="206" t="s">
        <v>103</v>
      </c>
      <c r="H6" s="207" t="str">
        <f t="shared" si="1"/>
        <v>障害状況(操作・現象)</v>
      </c>
      <c r="J6" s="205" t="s">
        <v>237</v>
      </c>
      <c r="K6" s="206" t="s">
        <v>103</v>
      </c>
      <c r="L6" s="207" t="str">
        <f t="shared" si="2"/>
        <v>障害番号</v>
      </c>
      <c r="N6" s="68"/>
    </row>
    <row r="7" spans="1:78">
      <c r="A7" s="210"/>
      <c r="B7" s="205" t="s">
        <v>237</v>
      </c>
      <c r="C7" s="206"/>
      <c r="D7" s="207" t="str">
        <f t="shared" si="0"/>
        <v>障害番号</v>
      </c>
      <c r="E7" s="208"/>
      <c r="F7" s="205" t="s">
        <v>346</v>
      </c>
      <c r="G7" s="206" t="s">
        <v>103</v>
      </c>
      <c r="H7" s="207" t="str">
        <f t="shared" si="1"/>
        <v>検出時機能
機能名</v>
      </c>
      <c r="J7" s="205" t="s">
        <v>345</v>
      </c>
      <c r="K7" s="206" t="s">
        <v>103</v>
      </c>
      <c r="L7" s="207" t="str">
        <f t="shared" si="2"/>
        <v>障害状況(操作・現象)</v>
      </c>
      <c r="N7" s="68"/>
    </row>
    <row r="8" spans="1:78">
      <c r="A8" s="210"/>
      <c r="B8" s="205" t="s">
        <v>345</v>
      </c>
      <c r="C8" s="206"/>
      <c r="D8" s="207" t="str">
        <f t="shared" si="0"/>
        <v>障害状況(操作・現象)</v>
      </c>
      <c r="E8" s="208"/>
      <c r="F8" s="205" t="s">
        <v>347</v>
      </c>
      <c r="G8" s="206" t="s">
        <v>103</v>
      </c>
      <c r="H8" s="207" t="str">
        <f t="shared" si="1"/>
        <v>検出日</v>
      </c>
      <c r="J8" s="205" t="s">
        <v>70</v>
      </c>
      <c r="K8" s="206" t="s">
        <v>103</v>
      </c>
      <c r="L8" s="207" t="str">
        <f t="shared" si="2"/>
        <v>検出時機能
機能名</v>
      </c>
      <c r="N8" s="68"/>
    </row>
    <row r="9" spans="1:78">
      <c r="A9" s="210"/>
      <c r="B9" s="205" t="s">
        <v>348</v>
      </c>
      <c r="C9" s="206"/>
      <c r="D9" s="207" t="str">
        <f t="shared" si="0"/>
        <v>検出時工程</v>
      </c>
      <c r="E9" s="208"/>
      <c r="F9" s="205" t="s">
        <v>349</v>
      </c>
      <c r="G9" s="206" t="s">
        <v>103</v>
      </c>
      <c r="H9" s="207" t="str">
        <f t="shared" si="1"/>
        <v>回答(ﾘﾘｰｽ)予定日</v>
      </c>
      <c r="J9" s="205" t="s">
        <v>72</v>
      </c>
      <c r="K9" s="206" t="s">
        <v>103</v>
      </c>
      <c r="L9" s="207" t="str">
        <f t="shared" si="2"/>
        <v>検出日</v>
      </c>
      <c r="N9" s="68"/>
    </row>
    <row r="10" spans="1:78">
      <c r="A10" s="210"/>
      <c r="B10" s="205" t="s">
        <v>350</v>
      </c>
      <c r="C10" s="206"/>
      <c r="D10" s="207" t="str">
        <f t="shared" si="0"/>
        <v>検出時機能
システム名</v>
      </c>
      <c r="E10" s="208"/>
      <c r="F10" s="205" t="s">
        <v>351</v>
      </c>
      <c r="G10" s="206" t="s">
        <v>103</v>
      </c>
      <c r="H10" s="207" t="str">
        <f t="shared" si="1"/>
        <v>現担当者名</v>
      </c>
      <c r="J10" s="205" t="s">
        <v>352</v>
      </c>
      <c r="K10" s="206" t="s">
        <v>103</v>
      </c>
      <c r="L10" s="207" t="str">
        <f t="shared" si="2"/>
        <v>回答日</v>
      </c>
      <c r="N10" s="68"/>
    </row>
    <row r="11" spans="1:78">
      <c r="A11" s="210"/>
      <c r="B11" s="205" t="s">
        <v>346</v>
      </c>
      <c r="C11" s="206"/>
      <c r="D11" s="207" t="str">
        <f t="shared" si="0"/>
        <v>検出時機能
機能名</v>
      </c>
      <c r="E11" s="208"/>
      <c r="F11" s="205" t="s">
        <v>353</v>
      </c>
      <c r="G11" s="206" t="s">
        <v>103</v>
      </c>
      <c r="H11" s="207" t="str">
        <f t="shared" si="1"/>
        <v>バグ
区分</v>
      </c>
      <c r="J11" s="205" t="s">
        <v>353</v>
      </c>
      <c r="K11" s="206" t="s">
        <v>103</v>
      </c>
      <c r="L11" s="207" t="str">
        <f t="shared" si="2"/>
        <v>バグ
区分</v>
      </c>
      <c r="N11" s="68"/>
    </row>
    <row r="12" spans="1:78">
      <c r="A12" s="210"/>
      <c r="B12" s="205" t="s">
        <v>354</v>
      </c>
      <c r="C12" s="206"/>
      <c r="D12" s="207" t="str">
        <f t="shared" si="0"/>
        <v>検出時機能
ﾌﾟﾛｸﾞﾗﾑ名</v>
      </c>
      <c r="E12" s="208"/>
      <c r="F12" s="205" t="s">
        <v>355</v>
      </c>
      <c r="G12" s="206" t="s">
        <v>103</v>
      </c>
      <c r="H12" s="207" t="str">
        <f t="shared" si="1"/>
        <v>障害区分</v>
      </c>
      <c r="J12" s="205" t="s">
        <v>355</v>
      </c>
      <c r="K12" s="206" t="s">
        <v>103</v>
      </c>
      <c r="L12" s="207" t="str">
        <f t="shared" si="2"/>
        <v>障害区分</v>
      </c>
      <c r="N12" s="68"/>
    </row>
    <row r="13" spans="1:78">
      <c r="A13" s="210"/>
      <c r="B13" s="211" t="s">
        <v>347</v>
      </c>
      <c r="C13" s="212"/>
      <c r="D13" s="213" t="str">
        <f t="shared" si="0"/>
        <v>検出日</v>
      </c>
      <c r="E13" s="208"/>
      <c r="F13" s="205" t="s">
        <v>356</v>
      </c>
      <c r="G13" s="206" t="s">
        <v>103</v>
      </c>
      <c r="H13" s="207" t="str">
        <f t="shared" si="1"/>
        <v>影響度</v>
      </c>
      <c r="J13" s="205" t="s">
        <v>348</v>
      </c>
      <c r="K13" s="206" t="s">
        <v>103</v>
      </c>
      <c r="L13" s="207" t="str">
        <f t="shared" si="2"/>
        <v>検出時工程</v>
      </c>
      <c r="N13" s="68"/>
    </row>
    <row r="14" spans="1:78">
      <c r="A14" s="210"/>
      <c r="B14" s="205" t="s">
        <v>357</v>
      </c>
      <c r="C14" s="206"/>
      <c r="D14" s="207" t="str">
        <f t="shared" si="0"/>
        <v>検出者名</v>
      </c>
      <c r="E14" s="208"/>
      <c r="F14" s="205" t="s">
        <v>358</v>
      </c>
      <c r="G14" s="206" t="s">
        <v>103</v>
      </c>
      <c r="H14" s="207" t="str">
        <f t="shared" si="1"/>
        <v>発生条件・原因</v>
      </c>
      <c r="J14" s="205" t="s">
        <v>358</v>
      </c>
      <c r="K14" s="206" t="s">
        <v>103</v>
      </c>
      <c r="L14" s="207" t="str">
        <f t="shared" si="2"/>
        <v>発生条件・原因</v>
      </c>
      <c r="N14" s="214"/>
    </row>
    <row r="15" spans="1:78">
      <c r="A15" s="210"/>
      <c r="B15" s="211" t="s">
        <v>352</v>
      </c>
      <c r="C15" s="212"/>
      <c r="D15" s="213" t="str">
        <f t="shared" si="0"/>
        <v>回答日</v>
      </c>
      <c r="E15" s="208"/>
      <c r="F15" s="205" t="s">
        <v>359</v>
      </c>
      <c r="G15" s="206" t="s">
        <v>103</v>
      </c>
      <c r="H15" s="207" t="str">
        <f t="shared" si="1"/>
        <v>原因区分</v>
      </c>
      <c r="J15" s="205" t="s">
        <v>84</v>
      </c>
      <c r="K15" s="206" t="s">
        <v>103</v>
      </c>
      <c r="L15" s="207" t="str">
        <f t="shared" si="2"/>
        <v>原因区分</v>
      </c>
      <c r="N15" s="68"/>
    </row>
    <row r="16" spans="1:78">
      <c r="A16" s="210"/>
      <c r="B16" s="205" t="s">
        <v>360</v>
      </c>
      <c r="C16" s="206"/>
      <c r="D16" s="207" t="str">
        <f t="shared" si="0"/>
        <v>回答者名</v>
      </c>
      <c r="E16" s="208"/>
      <c r="F16" s="205" t="s">
        <v>361</v>
      </c>
      <c r="G16" s="206" t="s">
        <v>103</v>
      </c>
      <c r="H16" s="207" t="str">
        <f t="shared" si="1"/>
        <v>原因工程</v>
      </c>
      <c r="J16" s="205" t="s">
        <v>85</v>
      </c>
      <c r="K16" s="206" t="s">
        <v>103</v>
      </c>
      <c r="L16" s="207" t="str">
        <f t="shared" si="2"/>
        <v>原因工程</v>
      </c>
      <c r="N16" s="68"/>
    </row>
    <row r="17" spans="1:14">
      <c r="A17" s="210"/>
      <c r="B17" s="211" t="s">
        <v>353</v>
      </c>
      <c r="C17" s="212"/>
      <c r="D17" s="213" t="str">
        <f t="shared" si="0"/>
        <v>バグ
区分</v>
      </c>
      <c r="E17" s="208"/>
      <c r="F17" s="205" t="s">
        <v>362</v>
      </c>
      <c r="G17" s="206" t="s">
        <v>103</v>
      </c>
      <c r="H17" s="207" t="str">
        <f t="shared" si="1"/>
        <v>同一障害番号</v>
      </c>
      <c r="J17" s="205" t="s">
        <v>86</v>
      </c>
      <c r="K17" s="206" t="s">
        <v>103</v>
      </c>
      <c r="L17" s="207" t="str">
        <f t="shared" si="2"/>
        <v>不良物件名</v>
      </c>
      <c r="N17" s="68"/>
    </row>
    <row r="18" spans="1:14">
      <c r="A18" s="210"/>
      <c r="B18" s="205" t="s">
        <v>363</v>
      </c>
      <c r="C18" s="206"/>
      <c r="D18" s="207" t="str">
        <f t="shared" si="0"/>
        <v>検出手段</v>
      </c>
      <c r="E18" s="208"/>
      <c r="F18" s="205" t="s">
        <v>364</v>
      </c>
      <c r="G18" s="206" t="s">
        <v>103</v>
      </c>
      <c r="H18" s="207" t="str">
        <f t="shared" si="1"/>
        <v>ステータス</v>
      </c>
      <c r="J18" s="205" t="s">
        <v>87</v>
      </c>
      <c r="K18" s="206" t="s">
        <v>103</v>
      </c>
      <c r="L18" s="207" t="str">
        <f t="shared" si="2"/>
        <v>ステータス</v>
      </c>
      <c r="N18" s="68"/>
    </row>
    <row r="19" spans="1:14">
      <c r="A19" s="210"/>
      <c r="B19" s="205" t="s">
        <v>355</v>
      </c>
      <c r="C19" s="206"/>
      <c r="D19" s="207" t="str">
        <f t="shared" si="0"/>
        <v>障害区分</v>
      </c>
      <c r="E19" s="208"/>
      <c r="F19" s="205"/>
      <c r="G19" s="206"/>
      <c r="H19" s="207" t="str">
        <f t="shared" ref="H19:H52" si="3">TTL(F19)</f>
        <v/>
      </c>
      <c r="J19" s="205" t="s">
        <v>365</v>
      </c>
      <c r="K19" s="206" t="s">
        <v>103</v>
      </c>
      <c r="L19" s="207" t="str">
        <f t="shared" si="2"/>
        <v>障害種別</v>
      </c>
      <c r="N19" s="214"/>
    </row>
    <row r="20" spans="1:14">
      <c r="A20" s="210"/>
      <c r="B20" s="205" t="s">
        <v>366</v>
      </c>
      <c r="C20" s="206"/>
      <c r="D20" s="207" t="str">
        <f t="shared" si="0"/>
        <v>再現性</v>
      </c>
      <c r="E20" s="208"/>
      <c r="F20" s="205"/>
      <c r="G20" s="206"/>
      <c r="H20" s="207" t="str">
        <f t="shared" si="3"/>
        <v/>
      </c>
      <c r="J20" s="205" t="s">
        <v>367</v>
      </c>
      <c r="K20" s="206" t="s">
        <v>103</v>
      </c>
      <c r="L20" s="207" t="str">
        <f t="shared" si="2"/>
        <v>処置</v>
      </c>
      <c r="N20" s="68"/>
    </row>
    <row r="21" spans="1:14">
      <c r="A21" s="210"/>
      <c r="B21" s="205" t="s">
        <v>368</v>
      </c>
      <c r="C21" s="206"/>
      <c r="D21" s="207" t="str">
        <f t="shared" si="0"/>
        <v>回避策</v>
      </c>
      <c r="E21" s="208"/>
      <c r="F21" s="205"/>
      <c r="G21" s="206"/>
      <c r="H21" s="207" t="str">
        <f t="shared" si="3"/>
        <v/>
      </c>
      <c r="J21" s="205" t="s">
        <v>351</v>
      </c>
      <c r="K21" s="206" t="s">
        <v>103</v>
      </c>
      <c r="L21" s="207" t="str">
        <f t="shared" si="2"/>
        <v>現担当者名</v>
      </c>
      <c r="N21" s="214"/>
    </row>
    <row r="22" spans="1:14">
      <c r="A22" s="210"/>
      <c r="B22" s="205" t="s">
        <v>356</v>
      </c>
      <c r="C22" s="206"/>
      <c r="D22" s="207" t="str">
        <f t="shared" si="0"/>
        <v>影響度</v>
      </c>
      <c r="E22" s="208"/>
      <c r="F22" s="205"/>
      <c r="G22" s="206"/>
      <c r="H22" s="207" t="str">
        <f t="shared" si="3"/>
        <v/>
      </c>
      <c r="J22" s="205" t="s">
        <v>369</v>
      </c>
      <c r="K22" s="206" t="s">
        <v>103</v>
      </c>
      <c r="L22" s="207" t="str">
        <f t="shared" si="2"/>
        <v>原因システム名</v>
      </c>
      <c r="N22" s="68"/>
    </row>
    <row r="23" spans="1:14">
      <c r="A23" s="210"/>
      <c r="B23" s="205" t="s">
        <v>362</v>
      </c>
      <c r="C23" s="206"/>
      <c r="D23" s="207" t="str">
        <f t="shared" si="0"/>
        <v>同一障害番号</v>
      </c>
      <c r="E23" s="208"/>
      <c r="F23" s="205"/>
      <c r="G23" s="206"/>
      <c r="H23" s="207" t="str">
        <f t="shared" si="3"/>
        <v/>
      </c>
      <c r="J23" s="205"/>
      <c r="K23" s="206"/>
      <c r="L23" s="207" t="str">
        <f t="shared" ref="L23:L52" si="4">TTL(J23)</f>
        <v/>
      </c>
      <c r="N23" s="214"/>
    </row>
    <row r="24" spans="1:14">
      <c r="A24" s="210"/>
      <c r="B24" s="205" t="s">
        <v>358</v>
      </c>
      <c r="C24" s="206"/>
      <c r="D24" s="207" t="str">
        <f t="shared" si="0"/>
        <v>発生条件・原因</v>
      </c>
      <c r="E24" s="208"/>
      <c r="F24" s="205"/>
      <c r="G24" s="206"/>
      <c r="H24" s="207" t="str">
        <f t="shared" si="3"/>
        <v/>
      </c>
      <c r="J24" s="205"/>
      <c r="K24" s="206"/>
      <c r="L24" s="207" t="str">
        <f t="shared" si="4"/>
        <v/>
      </c>
      <c r="N24" s="214"/>
    </row>
    <row r="25" spans="1:14">
      <c r="A25" s="210"/>
      <c r="B25" s="205" t="s">
        <v>359</v>
      </c>
      <c r="C25" s="206"/>
      <c r="D25" s="207" t="str">
        <f t="shared" si="0"/>
        <v>原因区分</v>
      </c>
      <c r="E25" s="208"/>
      <c r="F25" s="205"/>
      <c r="G25" s="206"/>
      <c r="H25" s="207" t="str">
        <f t="shared" si="3"/>
        <v/>
      </c>
      <c r="J25" s="205"/>
      <c r="K25" s="206"/>
      <c r="L25" s="207" t="str">
        <f t="shared" si="4"/>
        <v/>
      </c>
      <c r="N25" s="214"/>
    </row>
    <row r="26" spans="1:14">
      <c r="A26" s="210"/>
      <c r="B26" s="205" t="s">
        <v>361</v>
      </c>
      <c r="C26" s="206"/>
      <c r="D26" s="207" t="str">
        <f t="shared" si="0"/>
        <v>原因工程</v>
      </c>
      <c r="E26" s="208"/>
      <c r="F26" s="205"/>
      <c r="G26" s="206"/>
      <c r="H26" s="207" t="str">
        <f t="shared" si="3"/>
        <v/>
      </c>
      <c r="J26" s="205"/>
      <c r="K26" s="206"/>
      <c r="L26" s="207" t="str">
        <f t="shared" si="4"/>
        <v/>
      </c>
      <c r="N26" s="214"/>
    </row>
    <row r="27" spans="1:14">
      <c r="A27" s="210"/>
      <c r="B27" s="205" t="s">
        <v>370</v>
      </c>
      <c r="C27" s="206"/>
      <c r="D27" s="207" t="str">
        <f t="shared" si="0"/>
        <v>不良物件名</v>
      </c>
      <c r="E27" s="208"/>
      <c r="F27" s="205"/>
      <c r="G27" s="206"/>
      <c r="H27" s="207" t="str">
        <f t="shared" si="3"/>
        <v/>
      </c>
      <c r="J27" s="205"/>
      <c r="K27" s="206"/>
      <c r="L27" s="207" t="str">
        <f t="shared" si="4"/>
        <v/>
      </c>
      <c r="N27" s="214"/>
    </row>
    <row r="28" spans="1:14">
      <c r="A28" s="210"/>
      <c r="B28" s="205" t="s">
        <v>364</v>
      </c>
      <c r="C28" s="206"/>
      <c r="D28" s="207" t="str">
        <f t="shared" si="0"/>
        <v>ステータス</v>
      </c>
      <c r="E28" s="208"/>
      <c r="F28" s="205"/>
      <c r="G28" s="206"/>
      <c r="H28" s="207" t="str">
        <f t="shared" si="3"/>
        <v/>
      </c>
      <c r="J28" s="205"/>
      <c r="K28" s="206"/>
      <c r="L28" s="207" t="str">
        <f t="shared" si="4"/>
        <v/>
      </c>
      <c r="N28" s="214"/>
    </row>
    <row r="29" spans="1:14">
      <c r="A29" s="210"/>
      <c r="B29" s="205" t="s">
        <v>365</v>
      </c>
      <c r="C29" s="206"/>
      <c r="D29" s="207" t="str">
        <f t="shared" si="0"/>
        <v>障害種別</v>
      </c>
      <c r="E29" s="208"/>
      <c r="F29" s="205"/>
      <c r="G29" s="206"/>
      <c r="H29" s="207" t="str">
        <f t="shared" si="3"/>
        <v/>
      </c>
      <c r="J29" s="205"/>
      <c r="K29" s="206"/>
      <c r="L29" s="207" t="str">
        <f t="shared" si="4"/>
        <v/>
      </c>
      <c r="N29" s="68"/>
    </row>
    <row r="30" spans="1:14">
      <c r="A30" s="210"/>
      <c r="B30" s="205" t="s">
        <v>89</v>
      </c>
      <c r="C30" s="206"/>
      <c r="D30" s="207" t="str">
        <f t="shared" si="0"/>
        <v>処置</v>
      </c>
      <c r="E30" s="208"/>
      <c r="F30" s="205"/>
      <c r="G30" s="206"/>
      <c r="H30" s="207" t="str">
        <f t="shared" si="3"/>
        <v/>
      </c>
      <c r="J30" s="205"/>
      <c r="K30" s="206"/>
      <c r="L30" s="207" t="str">
        <f t="shared" si="4"/>
        <v/>
      </c>
      <c r="N30" s="214"/>
    </row>
    <row r="31" spans="1:14">
      <c r="A31" s="210"/>
      <c r="B31" s="205" t="s">
        <v>90</v>
      </c>
      <c r="C31" s="206"/>
      <c r="D31" s="207" t="str">
        <f t="shared" si="0"/>
        <v>処置種別</v>
      </c>
      <c r="E31" s="208"/>
      <c r="F31" s="205"/>
      <c r="G31" s="206"/>
      <c r="H31" s="207" t="str">
        <f t="shared" si="3"/>
        <v/>
      </c>
      <c r="J31" s="205"/>
      <c r="K31" s="206"/>
      <c r="L31" s="207" t="str">
        <f t="shared" si="4"/>
        <v/>
      </c>
      <c r="N31" s="68"/>
    </row>
    <row r="32" spans="1:14">
      <c r="A32" s="210"/>
      <c r="B32" s="205" t="s">
        <v>91</v>
      </c>
      <c r="C32" s="206"/>
      <c r="D32" s="207" t="str">
        <f t="shared" si="0"/>
        <v>修正日</v>
      </c>
      <c r="E32" s="208"/>
      <c r="F32" s="205"/>
      <c r="G32" s="206"/>
      <c r="H32" s="207" t="str">
        <f t="shared" si="3"/>
        <v/>
      </c>
      <c r="J32" s="205"/>
      <c r="K32" s="206"/>
      <c r="L32" s="207" t="str">
        <f t="shared" si="4"/>
        <v/>
      </c>
      <c r="N32" s="214"/>
    </row>
    <row r="33" spans="1:14">
      <c r="A33" s="210"/>
      <c r="B33" s="205" t="s">
        <v>92</v>
      </c>
      <c r="C33" s="206"/>
      <c r="D33" s="207" t="str">
        <f t="shared" si="0"/>
        <v>検証予定日</v>
      </c>
      <c r="E33" s="208"/>
      <c r="F33" s="205"/>
      <c r="G33" s="206"/>
      <c r="H33" s="207" t="str">
        <f t="shared" si="3"/>
        <v/>
      </c>
      <c r="J33" s="205"/>
      <c r="K33" s="206"/>
      <c r="L33" s="207" t="str">
        <f t="shared" si="4"/>
        <v/>
      </c>
      <c r="N33" s="214"/>
    </row>
    <row r="34" spans="1:14">
      <c r="A34" s="210"/>
      <c r="B34" s="205" t="s">
        <v>93</v>
      </c>
      <c r="C34" s="206"/>
      <c r="D34" s="207" t="str">
        <f t="shared" si="0"/>
        <v>検証実施日</v>
      </c>
      <c r="E34" s="208"/>
      <c r="F34" s="205"/>
      <c r="G34" s="206"/>
      <c r="H34" s="207" t="str">
        <f t="shared" si="3"/>
        <v/>
      </c>
      <c r="J34" s="205"/>
      <c r="K34" s="206"/>
      <c r="L34" s="207" t="str">
        <f t="shared" si="4"/>
        <v/>
      </c>
      <c r="N34" s="214"/>
    </row>
    <row r="35" spans="1:14">
      <c r="A35" s="210"/>
      <c r="B35" s="205" t="s">
        <v>94</v>
      </c>
      <c r="C35" s="206"/>
      <c r="D35" s="207" t="str">
        <f t="shared" si="0"/>
        <v>ﾘﾘｰｽ
ﾊﾞｰｼﾞｮﾝ</v>
      </c>
      <c r="E35" s="208"/>
      <c r="F35" s="205"/>
      <c r="G35" s="206"/>
      <c r="H35" s="207" t="str">
        <f t="shared" si="3"/>
        <v/>
      </c>
      <c r="J35" s="205"/>
      <c r="K35" s="206"/>
      <c r="L35" s="207" t="str">
        <f t="shared" si="4"/>
        <v/>
      </c>
      <c r="N35" s="214"/>
    </row>
    <row r="36" spans="1:14">
      <c r="A36" s="210"/>
      <c r="B36" s="205" t="s">
        <v>95</v>
      </c>
      <c r="C36" s="206"/>
      <c r="D36" s="207" t="str">
        <f t="shared" si="0"/>
        <v>回答(ﾘﾘｰｽ)予定日</v>
      </c>
      <c r="E36" s="208"/>
      <c r="F36" s="205"/>
      <c r="G36" s="206"/>
      <c r="H36" s="207" t="str">
        <f t="shared" si="3"/>
        <v/>
      </c>
      <c r="J36" s="205"/>
      <c r="K36" s="206"/>
      <c r="L36" s="207" t="str">
        <f t="shared" si="4"/>
        <v/>
      </c>
      <c r="N36" s="214"/>
    </row>
    <row r="37" spans="1:14">
      <c r="A37" s="210"/>
      <c r="B37" s="205" t="s">
        <v>371</v>
      </c>
      <c r="C37" s="206"/>
      <c r="D37" s="207" t="str">
        <f t="shared" si="0"/>
        <v>リリース日</v>
      </c>
      <c r="E37" s="208"/>
      <c r="F37" s="205"/>
      <c r="G37" s="206"/>
      <c r="H37" s="207" t="str">
        <f t="shared" si="3"/>
        <v/>
      </c>
      <c r="J37" s="205"/>
      <c r="K37" s="206"/>
      <c r="L37" s="207" t="str">
        <f t="shared" si="4"/>
        <v/>
      </c>
      <c r="N37" s="214"/>
    </row>
    <row r="38" spans="1:14">
      <c r="A38" s="210"/>
      <c r="B38" s="205" t="s">
        <v>97</v>
      </c>
      <c r="C38" s="206"/>
      <c r="D38" s="207" t="str">
        <f t="shared" si="0"/>
        <v>管理者確認日</v>
      </c>
      <c r="E38" s="208"/>
      <c r="F38" s="205"/>
      <c r="G38" s="206"/>
      <c r="H38" s="207" t="str">
        <f t="shared" si="3"/>
        <v/>
      </c>
      <c r="J38" s="205"/>
      <c r="K38" s="206"/>
      <c r="L38" s="207" t="str">
        <f t="shared" si="4"/>
        <v/>
      </c>
      <c r="N38" s="214"/>
    </row>
    <row r="39" spans="1:14">
      <c r="A39" s="210"/>
      <c r="B39" s="205" t="s">
        <v>351</v>
      </c>
      <c r="C39" s="206"/>
      <c r="D39" s="207" t="str">
        <f t="shared" si="0"/>
        <v>現担当者名</v>
      </c>
      <c r="E39" s="208"/>
      <c r="F39" s="205"/>
      <c r="G39" s="206"/>
      <c r="H39" s="207" t="str">
        <f t="shared" si="3"/>
        <v/>
      </c>
      <c r="J39" s="205"/>
      <c r="K39" s="206"/>
      <c r="L39" s="207" t="str">
        <f t="shared" si="4"/>
        <v/>
      </c>
      <c r="N39" s="214"/>
    </row>
    <row r="40" spans="1:14">
      <c r="A40" s="210"/>
      <c r="B40" s="205" t="s">
        <v>369</v>
      </c>
      <c r="C40" s="206"/>
      <c r="D40" s="207" t="str">
        <f t="shared" si="0"/>
        <v>原因システム名</v>
      </c>
      <c r="E40" s="208"/>
      <c r="F40" s="205"/>
      <c r="G40" s="206"/>
      <c r="H40" s="207" t="str">
        <f t="shared" si="3"/>
        <v/>
      </c>
      <c r="J40" s="205"/>
      <c r="K40" s="206"/>
      <c r="L40" s="207" t="str">
        <f t="shared" si="4"/>
        <v/>
      </c>
      <c r="N40" s="214"/>
    </row>
    <row r="41" spans="1:14">
      <c r="A41" s="210"/>
      <c r="B41" s="205" t="s">
        <v>100</v>
      </c>
      <c r="C41" s="206"/>
      <c r="D41" s="207" t="str">
        <f t="shared" si="0"/>
        <v>原因機能名</v>
      </c>
      <c r="E41" s="208"/>
      <c r="F41" s="205"/>
      <c r="G41" s="206"/>
      <c r="H41" s="207" t="str">
        <f t="shared" si="3"/>
        <v/>
      </c>
      <c r="J41" s="205"/>
      <c r="K41" s="206"/>
      <c r="L41" s="207" t="str">
        <f t="shared" si="4"/>
        <v/>
      </c>
      <c r="N41" s="214"/>
    </row>
    <row r="42" spans="1:14">
      <c r="A42" s="210"/>
      <c r="B42" s="205" t="s">
        <v>372</v>
      </c>
      <c r="C42" s="206"/>
      <c r="D42" s="207" t="str">
        <f t="shared" si="0"/>
        <v>検出者
所属</v>
      </c>
      <c r="E42" s="208"/>
      <c r="F42" s="205"/>
      <c r="G42" s="206"/>
      <c r="H42" s="207" t="str">
        <f t="shared" si="3"/>
        <v/>
      </c>
      <c r="J42" s="205"/>
      <c r="K42" s="206"/>
      <c r="L42" s="207" t="str">
        <f t="shared" si="4"/>
        <v/>
      </c>
      <c r="N42" s="214"/>
    </row>
    <row r="43" spans="1:14">
      <c r="A43" s="210"/>
      <c r="B43" s="205" t="s">
        <v>373</v>
      </c>
      <c r="C43" s="206"/>
      <c r="D43" s="207" t="str">
        <f t="shared" si="0"/>
        <v>重大バグ</v>
      </c>
      <c r="E43" s="208"/>
      <c r="F43" s="205"/>
      <c r="G43" s="206"/>
      <c r="H43" s="207" t="str">
        <f t="shared" si="3"/>
        <v/>
      </c>
      <c r="J43" s="205"/>
      <c r="K43" s="206"/>
      <c r="L43" s="207" t="str">
        <f t="shared" si="4"/>
        <v/>
      </c>
      <c r="N43" s="214"/>
    </row>
    <row r="44" spans="1:14">
      <c r="A44" s="210"/>
      <c r="B44" s="205" t="s">
        <v>104</v>
      </c>
      <c r="C44" s="206"/>
      <c r="D44" s="207" t="str">
        <f t="shared" si="0"/>
        <v>担当Ｇ</v>
      </c>
      <c r="E44" s="208"/>
      <c r="F44" s="205"/>
      <c r="G44" s="206"/>
      <c r="H44" s="207" t="str">
        <f t="shared" si="3"/>
        <v/>
      </c>
      <c r="J44" s="205"/>
      <c r="K44" s="206"/>
      <c r="L44" s="207" t="str">
        <f t="shared" si="4"/>
        <v/>
      </c>
      <c r="N44" s="214"/>
    </row>
    <row r="45" spans="1:14">
      <c r="A45" s="210"/>
      <c r="B45" s="205" t="s">
        <v>374</v>
      </c>
      <c r="C45" s="206"/>
      <c r="D45" s="207" t="str">
        <f t="shared" si="0"/>
        <v>品質記録番号</v>
      </c>
      <c r="E45" s="208"/>
      <c r="F45" s="205"/>
      <c r="G45" s="206"/>
      <c r="H45" s="207" t="str">
        <f t="shared" si="3"/>
        <v/>
      </c>
      <c r="J45" s="205"/>
      <c r="K45" s="206"/>
      <c r="L45" s="207" t="str">
        <f t="shared" si="4"/>
        <v/>
      </c>
      <c r="N45" s="214"/>
    </row>
    <row r="46" spans="1:14">
      <c r="A46" s="210"/>
      <c r="B46" s="205" t="s">
        <v>375</v>
      </c>
      <c r="C46" s="206"/>
      <c r="D46" s="207" t="str">
        <f t="shared" si="0"/>
        <v>調査回答工数</v>
      </c>
      <c r="E46" s="208"/>
      <c r="F46" s="205"/>
      <c r="G46" s="206"/>
      <c r="H46" s="207" t="str">
        <f t="shared" si="3"/>
        <v/>
      </c>
      <c r="J46" s="205"/>
      <c r="K46" s="206"/>
      <c r="L46" s="207" t="str">
        <f t="shared" si="4"/>
        <v/>
      </c>
      <c r="N46" s="214"/>
    </row>
    <row r="47" spans="1:14">
      <c r="A47" s="210"/>
      <c r="B47" s="205" t="s">
        <v>376</v>
      </c>
      <c r="C47" s="206"/>
      <c r="D47" s="207" t="str">
        <f t="shared" si="0"/>
        <v>調査工数</v>
      </c>
      <c r="E47" s="208"/>
      <c r="F47" s="205"/>
      <c r="G47" s="206"/>
      <c r="H47" s="207" t="str">
        <f t="shared" si="3"/>
        <v/>
      </c>
      <c r="J47" s="205"/>
      <c r="K47" s="206"/>
      <c r="L47" s="207" t="str">
        <f t="shared" si="4"/>
        <v/>
      </c>
      <c r="N47" s="214"/>
    </row>
    <row r="48" spans="1:14">
      <c r="A48" s="210"/>
      <c r="B48" s="205" t="s">
        <v>377</v>
      </c>
      <c r="C48" s="206"/>
      <c r="D48" s="207" t="str">
        <f t="shared" si="0"/>
        <v>処置工数</v>
      </c>
      <c r="E48" s="208"/>
      <c r="F48" s="205"/>
      <c r="G48" s="206"/>
      <c r="H48" s="207" t="str">
        <f t="shared" si="3"/>
        <v/>
      </c>
      <c r="J48" s="205"/>
      <c r="K48" s="206"/>
      <c r="L48" s="207" t="str">
        <f t="shared" si="4"/>
        <v/>
      </c>
      <c r="N48" s="214"/>
    </row>
    <row r="49" spans="1:14">
      <c r="A49" s="210"/>
      <c r="B49" s="211" t="s">
        <v>378</v>
      </c>
      <c r="C49" s="212"/>
      <c r="D49" s="213" t="str">
        <f t="shared" si="0"/>
        <v>件数</v>
      </c>
      <c r="E49" s="208"/>
      <c r="F49" s="205"/>
      <c r="G49" s="206"/>
      <c r="H49" s="207" t="str">
        <f t="shared" si="3"/>
        <v/>
      </c>
      <c r="J49" s="205"/>
      <c r="K49" s="206"/>
      <c r="L49" s="207" t="str">
        <f t="shared" si="4"/>
        <v/>
      </c>
      <c r="N49" s="214"/>
    </row>
    <row r="50" spans="1:14">
      <c r="A50" s="210"/>
      <c r="B50" s="215"/>
      <c r="C50" s="216"/>
      <c r="D50" s="207" t="str">
        <f t="shared" ref="D50:D52" si="5">TTL(B50)</f>
        <v/>
      </c>
      <c r="E50" s="208"/>
      <c r="F50" s="215"/>
      <c r="G50" s="216"/>
      <c r="H50" s="207" t="str">
        <f t="shared" si="3"/>
        <v/>
      </c>
      <c r="J50" s="215"/>
      <c r="K50" s="216"/>
      <c r="L50" s="207" t="str">
        <f t="shared" si="4"/>
        <v/>
      </c>
      <c r="N50" s="214"/>
    </row>
    <row r="51" spans="1:14">
      <c r="A51" s="210"/>
      <c r="B51" s="215"/>
      <c r="C51" s="216"/>
      <c r="D51" s="207" t="str">
        <f t="shared" si="5"/>
        <v/>
      </c>
      <c r="E51" s="208"/>
      <c r="F51" s="215"/>
      <c r="G51" s="216"/>
      <c r="H51" s="207" t="str">
        <f t="shared" si="3"/>
        <v/>
      </c>
      <c r="J51" s="215"/>
      <c r="K51" s="216"/>
      <c r="L51" s="207" t="str">
        <f t="shared" si="4"/>
        <v/>
      </c>
      <c r="N51" s="214"/>
    </row>
    <row r="52" spans="1:14" ht="15" thickBot="1">
      <c r="A52" s="210"/>
      <c r="B52" s="217"/>
      <c r="C52" s="218"/>
      <c r="D52" s="219" t="str">
        <f t="shared" si="5"/>
        <v/>
      </c>
      <c r="E52" s="208"/>
      <c r="F52" s="217"/>
      <c r="G52" s="218"/>
      <c r="H52" s="219" t="str">
        <f t="shared" si="3"/>
        <v/>
      </c>
      <c r="J52" s="217"/>
      <c r="K52" s="218"/>
      <c r="L52" s="219" t="str">
        <f t="shared" si="4"/>
        <v/>
      </c>
      <c r="N52" s="68"/>
    </row>
    <row r="53" spans="1:14">
      <c r="A53" s="104"/>
      <c r="B53" s="67"/>
      <c r="C53" s="67"/>
      <c r="D53" s="67"/>
      <c r="E53" s="208"/>
      <c r="F53" s="67"/>
      <c r="G53" s="67"/>
      <c r="H53" s="67"/>
      <c r="J53" s="67"/>
      <c r="K53" s="67"/>
      <c r="L53" s="67"/>
      <c r="N53" s="68"/>
    </row>
    <row r="54" spans="1:14">
      <c r="A54" s="104"/>
      <c r="C54" s="220" t="s">
        <v>379</v>
      </c>
      <c r="D54" s="221"/>
      <c r="E54" s="222"/>
      <c r="G54" s="220" t="s">
        <v>380</v>
      </c>
      <c r="K54" s="220" t="s">
        <v>381</v>
      </c>
      <c r="N54" s="68"/>
    </row>
    <row r="55" spans="1:14">
      <c r="A55" s="104"/>
      <c r="C55" s="220" t="s">
        <v>382</v>
      </c>
      <c r="D55" s="221"/>
      <c r="E55" s="222"/>
      <c r="G55" s="220" t="s">
        <v>383</v>
      </c>
      <c r="K55" s="220" t="s">
        <v>383</v>
      </c>
      <c r="N55" s="214"/>
    </row>
    <row r="56" spans="1:14">
      <c r="A56" s="104"/>
      <c r="N56" s="214"/>
    </row>
    <row r="57" spans="1:14">
      <c r="A57" s="191" t="s">
        <v>295</v>
      </c>
      <c r="N57" s="68"/>
    </row>
    <row r="58" spans="1:14">
      <c r="A58" s="191" t="s">
        <v>296</v>
      </c>
      <c r="N58" s="214"/>
    </row>
    <row r="59" spans="1:14">
      <c r="N59" s="68"/>
    </row>
    <row r="60" spans="1:14">
      <c r="N60" s="68"/>
    </row>
    <row r="61" spans="1:14">
      <c r="N61" s="214"/>
    </row>
    <row r="62" spans="1:14">
      <c r="N62" s="68"/>
    </row>
    <row r="63" spans="1:14">
      <c r="N63" s="214"/>
    </row>
    <row r="64" spans="1:14">
      <c r="N64" s="68"/>
    </row>
    <row r="65" spans="14:14">
      <c r="N65" s="214"/>
    </row>
  </sheetData>
  <mergeCells count="3">
    <mergeCell ref="F3:H3"/>
    <mergeCell ref="J3:L3"/>
    <mergeCell ref="B3:D3"/>
  </mergeCells>
  <phoneticPr fontId="23"/>
  <dataValidations count="3">
    <dataValidation type="list" allowBlank="1" showInputMessage="1" showErrorMessage="1" sqref="C5:C52">
      <formula1>"×"</formula1>
    </dataValidation>
    <dataValidation type="list" allowBlank="1" showInputMessage="1" showErrorMessage="1" sqref="G5:G52 K5:K52">
      <formula1>"○"</formula1>
    </dataValidation>
    <dataValidation type="list" allowBlank="1" showInputMessage="1" showErrorMessage="1" sqref="F5:F52 B5:B52 J5:J52">
      <formula1>SNCLM</formula1>
    </dataValidation>
  </dataValidations>
  <printOptions horizontalCentered="1"/>
  <pageMargins left="0.19685039370078741" right="0.19685039370078741" top="0.59055118110236227" bottom="0.39370078740157483" header="0.31496062992125984" footer="0.19685039370078741"/>
  <pageSetup paperSize="0" fitToHeight="0" pageOrder="overThenDown" orientation="portrait" horizontalDpi="0" verticalDpi="0" copies="0"/>
  <headerFooter alignWithMargins="0">
    <oddHeader>&amp;C&amp;"ＭＳ ゴシック,太字"&amp;16環境設定情報&amp;R&amp;10&amp;D &amp;T</oddHeader>
    <oddFooter>&amp;L&amp;10&amp;F&amp;C&amp;10&amp;P/&amp;N&amp;R&amp;10&amp;A</oddFoot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83</vt:i4>
      </vt:variant>
    </vt:vector>
  </HeadingPairs>
  <TitlesOfParts>
    <vt:vector size="97" baseType="lpstr">
      <vt:lpstr>edata</vt:lpstr>
      <vt:lpstr>sums</vt:lpstr>
      <vt:lpstr>graph</vt:lpstr>
      <vt:lpstr>swork</vt:lpstr>
      <vt:lpstr>gwork</vt:lpstr>
      <vt:lpstr>graph2</vt:lpstr>
      <vt:lpstr>gwork2</vt:lpstr>
      <vt:lpstr>qawork</vt:lpstr>
      <vt:lpstr>qagwork</vt:lpstr>
      <vt:lpstr>qagraph</vt:lpstr>
      <vt:lpstr>_coninfo</vt:lpstr>
      <vt:lpstr>_plist</vt:lpstr>
      <vt:lpstr>env</vt:lpstr>
      <vt:lpstr>env2</vt:lpstr>
      <vt:lpstr>_ConAuthID</vt:lpstr>
      <vt:lpstr>_ConPJUID</vt:lpstr>
      <vt:lpstr>_ConURL</vt:lpstr>
      <vt:lpstr>swork!_FilterDatabase</vt:lpstr>
      <vt:lpstr>_PListDate1</vt:lpstr>
      <vt:lpstr>_PListDate2</vt:lpstr>
      <vt:lpstr>_SN01</vt:lpstr>
      <vt:lpstr>_SN011</vt:lpstr>
      <vt:lpstr>_SN02</vt:lpstr>
      <vt:lpstr>_SN03</vt:lpstr>
      <vt:lpstr>_SN04</vt:lpstr>
      <vt:lpstr>_SN05</vt:lpstr>
      <vt:lpstr>_SN06</vt:lpstr>
      <vt:lpstr>_SN07</vt:lpstr>
      <vt:lpstr>_SN08</vt:lpstr>
      <vt:lpstr>_SN09</vt:lpstr>
      <vt:lpstr>_SN10</vt:lpstr>
      <vt:lpstr>_SN11</vt:lpstr>
      <vt:lpstr>_SN12</vt:lpstr>
      <vt:lpstr>_SN13</vt:lpstr>
      <vt:lpstr>_SN14</vt:lpstr>
      <vt:lpstr>_SN15</vt:lpstr>
      <vt:lpstr>_SN16</vt:lpstr>
      <vt:lpstr>swork!Criteria</vt:lpstr>
      <vt:lpstr>gwork!Extract</vt:lpstr>
      <vt:lpstr>sums!Extract</vt:lpstr>
      <vt:lpstr>swork!Extract</vt:lpstr>
      <vt:lpstr>'env2'!Print_Area</vt:lpstr>
      <vt:lpstr>edata!Print_Titles</vt:lpstr>
      <vt:lpstr>env!Print_Titles</vt:lpstr>
      <vt:lpstr>'env2'!Print_Titles</vt:lpstr>
      <vt:lpstr>gwork2!Print_Titles</vt:lpstr>
      <vt:lpstr>SAVBUG</vt:lpstr>
      <vt:lpstr>SAVNAB</vt:lpstr>
      <vt:lpstr>SNADT</vt:lpstr>
      <vt:lpstr>SNAGN</vt:lpstr>
      <vt:lpstr>SNAMP</vt:lpstr>
      <vt:lpstr>SNANM</vt:lpstr>
      <vt:lpstr>SNBAD</vt:lpstr>
      <vt:lpstr>SNBCT</vt:lpstr>
      <vt:lpstr>SNBKB</vt:lpstr>
      <vt:lpstr>SNBST</vt:lpstr>
      <vt:lpstr>SNBTP</vt:lpstr>
      <vt:lpstr>SNBWT</vt:lpstr>
      <vt:lpstr>SNCCT</vt:lpstr>
      <vt:lpstr>SNCFD</vt:lpstr>
      <vt:lpstr>SNCKB</vt:lpstr>
      <vt:lpstr>SNCLM</vt:lpstr>
      <vt:lpstr>SNCNT</vt:lpstr>
      <vt:lpstr>SNCPD</vt:lpstr>
      <vt:lpstr>SNCSE</vt:lpstr>
      <vt:lpstr>SNDKB</vt:lpstr>
      <vt:lpstr>SNEVS</vt:lpstr>
      <vt:lpstr>SNFPR</vt:lpstr>
      <vt:lpstr>SNFSC</vt:lpstr>
      <vt:lpstr>SNGTN</vt:lpstr>
      <vt:lpstr>SNHID</vt:lpstr>
      <vt:lpstr>SNHMP</vt:lpstr>
      <vt:lpstr>SNIFL</vt:lpstr>
      <vt:lpstr>SNKAN</vt:lpstr>
      <vt:lpstr>SNKDT</vt:lpstr>
      <vt:lpstr>SNKNM</vt:lpstr>
      <vt:lpstr>SNMCD</vt:lpstr>
      <vt:lpstr>SNMYP</vt:lpstr>
      <vt:lpstr>SNOFC</vt:lpstr>
      <vt:lpstr>SNOPC</vt:lpstr>
      <vt:lpstr>SNOPE</vt:lpstr>
      <vt:lpstr>SNOPR</vt:lpstr>
      <vt:lpstr>SNOSY</vt:lpstr>
      <vt:lpstr>SNPRG</vt:lpstr>
      <vt:lpstr>SNRDT</vt:lpstr>
      <vt:lpstr>SNRMN</vt:lpstr>
      <vt:lpstr>SNRMP</vt:lpstr>
      <vt:lpstr>SNRPD</vt:lpstr>
      <vt:lpstr>SNRVR</vt:lpstr>
      <vt:lpstr>SNSBN</vt:lpstr>
      <vt:lpstr>SNSKN</vt:lpstr>
      <vt:lpstr>SNSTS</vt:lpstr>
      <vt:lpstr>SNTAN</vt:lpstr>
      <vt:lpstr>SNUPC</vt:lpstr>
      <vt:lpstr>SNUPD</vt:lpstr>
      <vt:lpstr>SNWAY</vt:lpstr>
      <vt:lpstr>SNZAN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softwise</cp:lastModifiedBy>
  <dcterms:created xsi:type="dcterms:W3CDTF">2012-01-17T09:17:48Z</dcterms:created>
  <dcterms:modified xsi:type="dcterms:W3CDTF">2019-09-10T06:55:31Z</dcterms:modified>
</cp:coreProperties>
</file>